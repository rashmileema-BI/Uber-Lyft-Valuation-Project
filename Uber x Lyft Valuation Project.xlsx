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ml.chartshapes+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ulakshana\Desktop\PORTFOLIO PROJECTS\"/>
    </mc:Choice>
  </mc:AlternateContent>
  <xr:revisionPtr revIDLastSave="0" documentId="13_ncr:1_{35F93832-171E-4A65-A249-770E0DBA9D46}" xr6:coauthVersionLast="47" xr6:coauthVersionMax="47" xr10:uidLastSave="{00000000-0000-0000-0000-000000000000}"/>
  <bookViews>
    <workbookView xWindow="-120" yWindow="-120" windowWidth="20730" windowHeight="11160" tabRatio="690" firstSheet="11" activeTab="11" xr2:uid="{71BBA988-117E-4E4C-9D10-CC337804CFA5}"/>
  </bookViews>
  <sheets>
    <sheet name="Income Statement" sheetId="1" state="hidden" r:id="rId1"/>
    <sheet name="Balance Sheet" sheetId="2" state="hidden" r:id="rId2"/>
    <sheet name="Cash Flow" sheetId="4" state="hidden" r:id="rId3"/>
    <sheet name="Cover" sheetId="5" r:id="rId4"/>
    <sheet name="COVER2" sheetId="17" r:id="rId5"/>
    <sheet name="EXECUTIVE DASHBOARD" sheetId="18" r:id="rId6"/>
    <sheet name="data" sheetId="28" state="hidden" r:id="rId7"/>
    <sheet name="TRANSACTION OVERVIEW" sheetId="19" r:id="rId8"/>
    <sheet name="HISTORICAL FINANCIALS" sheetId="16" r:id="rId9"/>
    <sheet name="Lyft Analysis" sheetId="13" state="hidden" r:id="rId10"/>
    <sheet name="ASSUMPTIONS" sheetId="20" r:id="rId11"/>
    <sheet name="FORECAST MODEL &amp; FCF BUILD UP" sheetId="21" r:id="rId12"/>
    <sheet name="DCF &amp; SENSITIVITY ANALYSIS" sheetId="23" r:id="rId13"/>
    <sheet name="SYNERGIES" sheetId="24" r:id="rId14"/>
    <sheet name="RECOMMENDATION" sheetId="26" r:id="rId15"/>
  </sheets>
  <definedNames>
    <definedName name="_xlnm._FilterDatabase" localSheetId="1" hidden="1">'Balance Sheet'!$A$2:$E$81</definedName>
    <definedName name="_xlnm._FilterDatabase" localSheetId="2" hidden="1">'Cash Flow'!$A$2:$F$64</definedName>
    <definedName name="_xlnm._FilterDatabase" localSheetId="9" hidden="1">'Lyft Analysis'!$B$3:$C$3</definedName>
    <definedName name="_xlchart.v1.0" hidden="1">'DCF &amp; SENSITIVITY ANALYSIS'!$F$28:$F$30</definedName>
    <definedName name="_xlchart.v1.1" hidden="1">'DCF &amp; SENSITIVITY ANALYSIS'!$I$28:$I$30</definedName>
    <definedName name="_xlchart.v1.2" hidden="1">'DCF &amp; SENSITIVITY ANALYSIS'!$F$26:$F$28</definedName>
    <definedName name="_xlchart.v1.3" hidden="1">'DCF &amp; SENSITIVITY ANALYSIS'!$I$26:$I$28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3" i="18" l="1"/>
  <c r="H43" i="18"/>
  <c r="J43" i="18"/>
  <c r="L43" i="18"/>
  <c r="D43" i="18"/>
  <c r="T16" i="18"/>
  <c r="V8" i="24"/>
  <c r="P8" i="24"/>
  <c r="R8" i="24"/>
  <c r="T8" i="24"/>
  <c r="N8" i="24"/>
  <c r="D18" i="23"/>
  <c r="I7" i="24"/>
  <c r="I6" i="24"/>
  <c r="C35" i="23"/>
  <c r="A37" i="23"/>
  <c r="A36" i="23"/>
  <c r="A28" i="23"/>
  <c r="A27" i="23"/>
  <c r="D9" i="23"/>
  <c r="D8" i="23"/>
  <c r="L18" i="23"/>
  <c r="F18" i="23"/>
  <c r="H18" i="23"/>
  <c r="J18" i="23"/>
  <c r="D26" i="21"/>
  <c r="D25" i="21"/>
  <c r="D23" i="21"/>
  <c r="D22" i="21"/>
  <c r="D29" i="21"/>
  <c r="E29" i="21"/>
  <c r="D12" i="21"/>
  <c r="F6" i="21"/>
  <c r="D14" i="21"/>
  <c r="D8" i="21"/>
  <c r="J40" i="16"/>
  <c r="N40" i="16"/>
  <c r="F40" i="16"/>
  <c r="D40" i="16"/>
  <c r="F39" i="16"/>
  <c r="J39" i="16"/>
  <c r="N39" i="16"/>
  <c r="D39" i="16"/>
  <c r="N35" i="16"/>
  <c r="J35" i="16"/>
  <c r="F35" i="16"/>
  <c r="D35" i="16"/>
  <c r="N8" i="16"/>
  <c r="J8" i="16"/>
  <c r="F8" i="16"/>
  <c r="D8" i="16"/>
  <c r="N27" i="16"/>
  <c r="J27" i="16"/>
  <c r="F27" i="16"/>
  <c r="D27" i="16"/>
  <c r="N23" i="16"/>
  <c r="J23" i="16"/>
  <c r="F23" i="16"/>
  <c r="D23" i="16"/>
  <c r="N21" i="16"/>
  <c r="J21" i="16"/>
  <c r="F21" i="16"/>
  <c r="D21" i="16"/>
  <c r="N19" i="16"/>
  <c r="J19" i="16"/>
  <c r="F19" i="16"/>
  <c r="D19" i="16"/>
  <c r="N14" i="16"/>
  <c r="J14" i="16"/>
  <c r="F14" i="16"/>
  <c r="D14" i="16"/>
  <c r="N12" i="16"/>
  <c r="J12" i="16"/>
  <c r="F12" i="16"/>
  <c r="D12" i="16"/>
  <c r="N9" i="16"/>
  <c r="J9" i="16"/>
  <c r="F9" i="16"/>
  <c r="D9" i="16"/>
  <c r="H7" i="16"/>
  <c r="P7" i="16"/>
  <c r="L7" i="16"/>
  <c r="P6" i="16"/>
  <c r="L6" i="16"/>
  <c r="H6" i="16"/>
  <c r="D24" i="21" l="1"/>
  <c r="J36" i="16"/>
  <c r="D18" i="21"/>
  <c r="D27" i="21" s="1"/>
  <c r="C37" i="23"/>
  <c r="C28" i="23"/>
  <c r="T12" i="18" s="1"/>
  <c r="C27" i="23"/>
  <c r="T14" i="18" s="1"/>
  <c r="X8" i="24"/>
  <c r="J2" i="18" s="1"/>
  <c r="J11" i="24"/>
  <c r="F18" i="21"/>
  <c r="F27" i="21" s="1"/>
  <c r="F17" i="21"/>
  <c r="F26" i="21" s="1"/>
  <c r="F15" i="21"/>
  <c r="F25" i="21" s="1"/>
  <c r="D9" i="21"/>
  <c r="F10" i="21"/>
  <c r="F7" i="21"/>
  <c r="H6" i="21"/>
  <c r="H18" i="21" s="1"/>
  <c r="H27" i="21" s="1"/>
  <c r="E9" i="21"/>
  <c r="D36" i="16"/>
  <c r="D37" i="16" s="1"/>
  <c r="F36" i="16"/>
  <c r="F37" i="16" s="1"/>
  <c r="J37" i="16"/>
  <c r="N16" i="16"/>
  <c r="J16" i="16"/>
  <c r="F16" i="16"/>
  <c r="D16" i="16"/>
  <c r="N10" i="16"/>
  <c r="F10" i="16"/>
  <c r="K10" i="16"/>
  <c r="G10" i="16"/>
  <c r="J10" i="16"/>
  <c r="D10" i="16"/>
  <c r="O10" i="16"/>
  <c r="E10" i="16"/>
  <c r="E84" i="13"/>
  <c r="E92" i="13"/>
  <c r="E22" i="13"/>
  <c r="E14" i="13"/>
  <c r="E111" i="13"/>
  <c r="E112" i="13"/>
  <c r="E113" i="13"/>
  <c r="E110" i="13"/>
  <c r="D101" i="13"/>
  <c r="D102" i="13"/>
  <c r="D103" i="13"/>
  <c r="E95" i="13"/>
  <c r="E94" i="13"/>
  <c r="E93" i="13"/>
  <c r="E85" i="13"/>
  <c r="E86" i="13"/>
  <c r="E87" i="13"/>
  <c r="E67" i="13"/>
  <c r="E68" i="13"/>
  <c r="E69" i="13"/>
  <c r="E66" i="13"/>
  <c r="E56" i="13"/>
  <c r="E57" i="13"/>
  <c r="E58" i="13"/>
  <c r="E59" i="13"/>
  <c r="D38" i="23" l="1"/>
  <c r="D40" i="23" s="1"/>
  <c r="D16" i="24"/>
  <c r="C16" i="24"/>
  <c r="H15" i="21"/>
  <c r="H25" i="21" s="1"/>
  <c r="H17" i="21"/>
  <c r="H26" i="21" s="1"/>
  <c r="F8" i="21"/>
  <c r="F11" i="21" s="1"/>
  <c r="H10" i="21"/>
  <c r="H7" i="21"/>
  <c r="J6" i="21"/>
  <c r="J18" i="21" s="1"/>
  <c r="J27" i="21" s="1"/>
  <c r="E23" i="13"/>
  <c r="E24" i="13"/>
  <c r="E25" i="13"/>
  <c r="E15" i="13"/>
  <c r="E16" i="13"/>
  <c r="E17" i="13"/>
  <c r="D6" i="13"/>
  <c r="D5" i="13"/>
  <c r="D7" i="13"/>
  <c r="I26" i="23" l="1"/>
  <c r="T20" i="18"/>
  <c r="F12" i="21"/>
  <c r="F13" i="21"/>
  <c r="F22" i="21" s="1"/>
  <c r="J15" i="21"/>
  <c r="J25" i="21" s="1"/>
  <c r="J17" i="21"/>
  <c r="J26" i="21" s="1"/>
  <c r="G9" i="21"/>
  <c r="F9" i="21"/>
  <c r="H8" i="21"/>
  <c r="H11" i="21" s="1"/>
  <c r="J10" i="21"/>
  <c r="L6" i="21"/>
  <c r="L18" i="21" s="1"/>
  <c r="L27" i="21" s="1"/>
  <c r="J7" i="21"/>
  <c r="F14" i="21" l="1"/>
  <c r="F16" i="21"/>
  <c r="F23" i="21" s="1"/>
  <c r="F24" i="21" s="1"/>
  <c r="F28" i="21" s="1"/>
  <c r="H12" i="21"/>
  <c r="H13" i="21"/>
  <c r="H22" i="21" s="1"/>
  <c r="L15" i="21"/>
  <c r="L25" i="21" s="1"/>
  <c r="L17" i="21"/>
  <c r="L26" i="21" s="1"/>
  <c r="I9" i="21"/>
  <c r="H9" i="21"/>
  <c r="J8" i="21"/>
  <c r="J11" i="21" s="1"/>
  <c r="L10" i="21"/>
  <c r="L7" i="21"/>
  <c r="N6" i="21"/>
  <c r="G29" i="21" l="1"/>
  <c r="F29" i="21"/>
  <c r="D17" i="23"/>
  <c r="D19" i="23" s="1"/>
  <c r="N18" i="21"/>
  <c r="N27" i="21" s="1"/>
  <c r="M2" i="18"/>
  <c r="H14" i="21"/>
  <c r="H16" i="21"/>
  <c r="H23" i="21" s="1"/>
  <c r="H24" i="21" s="1"/>
  <c r="H28" i="21" s="1"/>
  <c r="J12" i="21"/>
  <c r="J13" i="21"/>
  <c r="J22" i="21" s="1"/>
  <c r="N15" i="21"/>
  <c r="N25" i="21" s="1"/>
  <c r="N17" i="21"/>
  <c r="N26" i="21" s="1"/>
  <c r="K9" i="21"/>
  <c r="J9" i="21"/>
  <c r="L8" i="21"/>
  <c r="L11" i="21" s="1"/>
  <c r="N7" i="21"/>
  <c r="N10" i="21"/>
  <c r="H29" i="21" l="1"/>
  <c r="I29" i="21"/>
  <c r="F17" i="23"/>
  <c r="F19" i="23" s="1"/>
  <c r="J14" i="21"/>
  <c r="J16" i="21"/>
  <c r="J23" i="21" s="1"/>
  <c r="J24" i="21" s="1"/>
  <c r="J28" i="21" s="1"/>
  <c r="N8" i="21"/>
  <c r="N11" i="21" s="1"/>
  <c r="N6" i="23" s="1"/>
  <c r="L12" i="21"/>
  <c r="L13" i="21"/>
  <c r="L22" i="21" s="1"/>
  <c r="L9" i="21"/>
  <c r="M9" i="21"/>
  <c r="N9" i="21"/>
  <c r="J29" i="21" l="1"/>
  <c r="K29" i="21"/>
  <c r="H17" i="23"/>
  <c r="H19" i="23" s="1"/>
  <c r="O9" i="21"/>
  <c r="L14" i="21"/>
  <c r="L16" i="21"/>
  <c r="L23" i="21" s="1"/>
  <c r="L24" i="21" s="1"/>
  <c r="L28" i="21" s="1"/>
  <c r="N13" i="21"/>
  <c r="N22" i="21" s="1"/>
  <c r="N12" i="21"/>
  <c r="M29" i="21" l="1"/>
  <c r="L29" i="21"/>
  <c r="J17" i="23"/>
  <c r="J19" i="23" s="1"/>
  <c r="N14" i="21"/>
  <c r="P2" i="18" s="1"/>
  <c r="N16" i="21"/>
  <c r="N23" i="21" s="1"/>
  <c r="N24" i="21" s="1"/>
  <c r="N28" i="21" s="1"/>
  <c r="N29" i="21" l="1"/>
  <c r="O29" i="21"/>
  <c r="L17" i="23"/>
  <c r="N5" i="23" l="1"/>
  <c r="N7" i="23" s="1"/>
  <c r="D5" i="23" s="1"/>
  <c r="D6" i="23" s="1"/>
  <c r="L19" i="23"/>
  <c r="D7" i="23" l="1"/>
  <c r="D10" i="23" l="1"/>
  <c r="D12" i="23" s="1"/>
  <c r="R15" i="23" s="1"/>
  <c r="C15" i="24"/>
  <c r="C26" i="23"/>
  <c r="D2" i="18"/>
  <c r="C17" i="24" l="1"/>
  <c r="D17" i="24"/>
  <c r="T10" i="18"/>
  <c r="D29" i="23"/>
  <c r="D31" i="23" s="1"/>
  <c r="I28" i="23" l="1"/>
  <c r="I27" i="23" s="1"/>
  <c r="T18" i="18"/>
  <c r="T22" i="18" s="1"/>
  <c r="G2" i="18"/>
</calcChain>
</file>

<file path=xl/sharedStrings.xml><?xml version="1.0" encoding="utf-8"?>
<sst xmlns="http://schemas.openxmlformats.org/spreadsheetml/2006/main" count="762" uniqueCount="440">
  <si>
    <t>Breakdown</t>
  </si>
  <si>
    <t>TTM</t>
  </si>
  <si>
    <t>Total Revenue</t>
  </si>
  <si>
    <t>Operating Revenue</t>
  </si>
  <si>
    <t>Cost of Revenue</t>
  </si>
  <si>
    <t>Gross Profit</t>
  </si>
  <si>
    <t>Operating Expense</t>
  </si>
  <si>
    <t>Selling General and Administrative</t>
  </si>
  <si>
    <t>General &amp; Administrative Expense</t>
  </si>
  <si>
    <t>Other G and A</t>
  </si>
  <si>
    <t>Selling &amp; Marketing Expense</t>
  </si>
  <si>
    <t>Research &amp; Development</t>
  </si>
  <si>
    <t>Depreciation Amortization Depletion</t>
  </si>
  <si>
    <t>Depreciation &amp; amortization</t>
  </si>
  <si>
    <t>Other Operating Expenses</t>
  </si>
  <si>
    <t>Operating Income</t>
  </si>
  <si>
    <t>Net Non Operating Interest Income Expense</t>
  </si>
  <si>
    <t>Interest Income Non Operating</t>
  </si>
  <si>
    <t>Interest Expense Non Operating</t>
  </si>
  <si>
    <t>Other Income Expense</t>
  </si>
  <si>
    <t>Gain on Sale of Security</t>
  </si>
  <si>
    <t>Special Income Charges</t>
  </si>
  <si>
    <t>Restructuring &amp; Mergers Acquisition</t>
  </si>
  <si>
    <t>Write Off</t>
  </si>
  <si>
    <t>Gain on Sale of Business</t>
  </si>
  <si>
    <t>Other Non Operating Income Expenses</t>
  </si>
  <si>
    <t>Pretax Income</t>
  </si>
  <si>
    <t>Tax Provision</t>
  </si>
  <si>
    <t>Earnings from Equity Interest Net of Tax</t>
  </si>
  <si>
    <t>Net Income Common Stockholders</t>
  </si>
  <si>
    <t>Net Income</t>
  </si>
  <si>
    <t>Net Income Including Non-Controlling Interests</t>
  </si>
  <si>
    <t>Net Income Continuous Operations</t>
  </si>
  <si>
    <t>Minority Interests</t>
  </si>
  <si>
    <t>Average Dilution Earnings</t>
  </si>
  <si>
    <t>Diluted NI Available to Com Stockholders</t>
  </si>
  <si>
    <t>Basic EPS</t>
  </si>
  <si>
    <t>Diluted EPS</t>
  </si>
  <si>
    <t>Basic Average Shares</t>
  </si>
  <si>
    <t>Diluted Average Shares</t>
  </si>
  <si>
    <t>Total Operating Income as Reported</t>
  </si>
  <si>
    <t>Total Expenses</t>
  </si>
  <si>
    <t>Net Income from Continuing &amp; Discontinued Operation</t>
  </si>
  <si>
    <t>Normalized Income</t>
  </si>
  <si>
    <t>Interest Income</t>
  </si>
  <si>
    <t>Interest Expense</t>
  </si>
  <si>
    <t>Net Interest Income</t>
  </si>
  <si>
    <t>EBIT</t>
  </si>
  <si>
    <t>EBITDA</t>
  </si>
  <si>
    <t>Reconciled Cost of Revenue</t>
  </si>
  <si>
    <t>Reconciled Depreciation</t>
  </si>
  <si>
    <t>Net Income from Continuing Operation Net Minority Interest</t>
  </si>
  <si>
    <t>Total Unusual Items Excluding Goodwill</t>
  </si>
  <si>
    <t>Total Unusual Items</t>
  </si>
  <si>
    <t>Normalized EBITDA</t>
  </si>
  <si>
    <t>Tax Rate for Calcs</t>
  </si>
  <si>
    <t>Tax Effect of Unusual Items</t>
  </si>
  <si>
    <t>UBER</t>
  </si>
  <si>
    <t>Earnings from Equity Interest</t>
  </si>
  <si>
    <t>LYFT</t>
  </si>
  <si>
    <t>Total Assets</t>
  </si>
  <si>
    <t>Current Assets</t>
  </si>
  <si>
    <t>Cash, Cash Equivalents &amp; Short Term Investments</t>
  </si>
  <si>
    <t>Cash And Cash Equivalents</t>
  </si>
  <si>
    <t>Other Short Term Investments</t>
  </si>
  <si>
    <t>Receivables</t>
  </si>
  <si>
    <t>Accounts receivable</t>
  </si>
  <si>
    <t>Gross Accounts Receivable</t>
  </si>
  <si>
    <t>Allowance For Doubtful Accounts Receivable</t>
  </si>
  <si>
    <t>Other Receivables</t>
  </si>
  <si>
    <t>Prepaid Assets</t>
  </si>
  <si>
    <t>Restricted Cash</t>
  </si>
  <si>
    <t>Other Current Assets</t>
  </si>
  <si>
    <t>Total non-current assets</t>
  </si>
  <si>
    <t>Net PPE</t>
  </si>
  <si>
    <t>Gross PPE</t>
  </si>
  <si>
    <t>Properties</t>
  </si>
  <si>
    <t>Land And Improvements</t>
  </si>
  <si>
    <t>Buildings And Improvements</t>
  </si>
  <si>
    <t>Machinery Furniture Equipment</t>
  </si>
  <si>
    <t>Other Properties</t>
  </si>
  <si>
    <t>Construction in Progress</t>
  </si>
  <si>
    <t>Leases</t>
  </si>
  <si>
    <t>Accumulated Depreciation</t>
  </si>
  <si>
    <t>Goodwill And Other Intangible Assets</t>
  </si>
  <si>
    <t>Goodwill</t>
  </si>
  <si>
    <t>Other Intangible Assets</t>
  </si>
  <si>
    <t>Investments And Advances</t>
  </si>
  <si>
    <t>Long Term Equity Investment</t>
  </si>
  <si>
    <t>Investment in Financial Assets</t>
  </si>
  <si>
    <t>Available for Sale Securities</t>
  </si>
  <si>
    <t>Held To Maturity Securities</t>
  </si>
  <si>
    <t>Non Current Note Receivables</t>
  </si>
  <si>
    <t>Non Current Deferred Assets</t>
  </si>
  <si>
    <t>Non Current Deferred Taxes Assets</t>
  </si>
  <si>
    <t>Other Non Current Assets</t>
  </si>
  <si>
    <t>Total Liabilities Net Minority Interest</t>
  </si>
  <si>
    <t>Current Liabilities</t>
  </si>
  <si>
    <t>Payables And Accrued Expenses</t>
  </si>
  <si>
    <t>Payables</t>
  </si>
  <si>
    <t>Accounts Payable</t>
  </si>
  <si>
    <t>Total Tax Payable</t>
  </si>
  <si>
    <t>Income Tax Payable</t>
  </si>
  <si>
    <t>Current Accrued Expenses</t>
  </si>
  <si>
    <t>Current Provisions</t>
  </si>
  <si>
    <t>Pension &amp; Other Post Retirement Benefit Plans Current</t>
  </si>
  <si>
    <t>Current Debt And Capital Lease Obligation</t>
  </si>
  <si>
    <t>Current Debt</t>
  </si>
  <si>
    <t>Other Current Borrowings</t>
  </si>
  <si>
    <t>Current Capital Lease Obligation</t>
  </si>
  <si>
    <t>Other Current Liabilities</t>
  </si>
  <si>
    <t>Total Non Current Liabilities Net Minority Interest</t>
  </si>
  <si>
    <t>Long Term Provisions</t>
  </si>
  <si>
    <t>Long Term Debt And Capital Lease Obligation</t>
  </si>
  <si>
    <t>Long Term Debt</t>
  </si>
  <si>
    <t>Long Term Capital Lease Obligation</t>
  </si>
  <si>
    <t>Non Current Deferred Liabilities</t>
  </si>
  <si>
    <t>Non Current Deferred Taxes Liabilities</t>
  </si>
  <si>
    <t>Other Non Current Liabilities</t>
  </si>
  <si>
    <t>Total Equity Gross Minority Interest</t>
  </si>
  <si>
    <t>Stockholders' Equity</t>
  </si>
  <si>
    <t>Capital Stock</t>
  </si>
  <si>
    <t>Common Stock</t>
  </si>
  <si>
    <t>Additional Paid in Capital</t>
  </si>
  <si>
    <t>Retained Earnings</t>
  </si>
  <si>
    <t>Gains Losses Not Affecting Retained Earnings</t>
  </si>
  <si>
    <t>Other Equity Adjustments</t>
  </si>
  <si>
    <t>Minority Interest</t>
  </si>
  <si>
    <t>Total Capitalization</t>
  </si>
  <si>
    <t>Common Stock Equity</t>
  </si>
  <si>
    <t>Capital Lease Obligations</t>
  </si>
  <si>
    <t>Net Tangible Assets</t>
  </si>
  <si>
    <t>Working Capital</t>
  </si>
  <si>
    <t>Invested Capital</t>
  </si>
  <si>
    <t>Tangible Book Value</t>
  </si>
  <si>
    <t>Total Debt</t>
  </si>
  <si>
    <t>Net Debt</t>
  </si>
  <si>
    <t>Share Issued</t>
  </si>
  <si>
    <t>Ordinary Shares Number</t>
  </si>
  <si>
    <t>Operating Cash Flow</t>
  </si>
  <si>
    <t>Cash Flow from Continuing Operating Activities</t>
  </si>
  <si>
    <t>Net Income from Continuing Operations</t>
  </si>
  <si>
    <t>Operating Gains Losses</t>
  </si>
  <si>
    <t>Gain Loss On Sale of Business</t>
  </si>
  <si>
    <t>Net Foreign Currency Exchange Gain Loss</t>
  </si>
  <si>
    <t>Gain Loss On Investment Securities</t>
  </si>
  <si>
    <t>Earnings Losses from Equity Investments</t>
  </si>
  <si>
    <t>Deferred Tax</t>
  </si>
  <si>
    <t>Deferred Income Tax</t>
  </si>
  <si>
    <t>Asset Impairment Charge</t>
  </si>
  <si>
    <t>Unrealized Gain Loss On Investment Securities</t>
  </si>
  <si>
    <t>Stock based compensation</t>
  </si>
  <si>
    <t>Other non-cash items</t>
  </si>
  <si>
    <t>Change in working capital</t>
  </si>
  <si>
    <t>Change in Receivables</t>
  </si>
  <si>
    <t>Changes in Account Receivables</t>
  </si>
  <si>
    <t>Change in Prepaid Assets</t>
  </si>
  <si>
    <t>Change in Payables And Accrued Expense</t>
  </si>
  <si>
    <t>Change in Payable</t>
  </si>
  <si>
    <t>Change in Account Payable</t>
  </si>
  <si>
    <t>Change in Accrued Expense</t>
  </si>
  <si>
    <t>Change in Other Current Assets</t>
  </si>
  <si>
    <t>Change in Other Current Liabilities</t>
  </si>
  <si>
    <t>Change in Other Working Capital</t>
  </si>
  <si>
    <t>Investing Cash Flow</t>
  </si>
  <si>
    <t>Cash Flow from Continuing Investing Activities</t>
  </si>
  <si>
    <t>Net PPE Purchase And Sale</t>
  </si>
  <si>
    <t>Purchase of PPE</t>
  </si>
  <si>
    <t>Net Business Purchase And Sale</t>
  </si>
  <si>
    <t>Purchase of Business</t>
  </si>
  <si>
    <t>Sale of Business</t>
  </si>
  <si>
    <t>Net Investment Purchase And Sale</t>
  </si>
  <si>
    <t>Purchase of Investment</t>
  </si>
  <si>
    <t>Sale of Investment</t>
  </si>
  <si>
    <t>Net Other Investing Changes</t>
  </si>
  <si>
    <t>Financing Cash Flow</t>
  </si>
  <si>
    <t>Cash Flow from Continuing Financing Activities</t>
  </si>
  <si>
    <t>Net Issuance Payments of Debt</t>
  </si>
  <si>
    <t>Net Long Term Debt Issuance</t>
  </si>
  <si>
    <t>Long Term Debt Issuance</t>
  </si>
  <si>
    <t>Long Term Debt Payments</t>
  </si>
  <si>
    <t>Net Common Stock Issuance</t>
  </si>
  <si>
    <t>Common Stock Issuance</t>
  </si>
  <si>
    <t>Common Stock Payments</t>
  </si>
  <si>
    <t>Proceeds from Stock Option Exercised</t>
  </si>
  <si>
    <t>Net Other Financing Charges</t>
  </si>
  <si>
    <t>End Cash Position</t>
  </si>
  <si>
    <t>Changes in Cash</t>
  </si>
  <si>
    <t>Effect of Exchange Rate Changes</t>
  </si>
  <si>
    <t>Beginning Cash Position</t>
  </si>
  <si>
    <t>Other Cash Adjustment Outside Change in Cash</t>
  </si>
  <si>
    <t>Income Tax Paid Supplemental Data</t>
  </si>
  <si>
    <t>Interest Paid Supplemental Data</t>
  </si>
  <si>
    <t>Capital Expenditure</t>
  </si>
  <si>
    <t>Issuance of Capital Stock</t>
  </si>
  <si>
    <t>Issuance of Debt</t>
  </si>
  <si>
    <t>Repayment of Debt</t>
  </si>
  <si>
    <t>Repurchase of Capital Stock</t>
  </si>
  <si>
    <t>Free Cash Flow</t>
  </si>
  <si>
    <t>Metric</t>
  </si>
  <si>
    <t>Other Investments</t>
  </si>
  <si>
    <t>Other Payable</t>
  </si>
  <si>
    <t>Current Deferred Liabilities</t>
  </si>
  <si>
    <t>Preferred Stock</t>
  </si>
  <si>
    <t>Treasury Shares Number</t>
  </si>
  <si>
    <t>Amortization of Securities</t>
  </si>
  <si>
    <t>Sale of PPE</t>
  </si>
  <si>
    <t>Net Short Term Debt Issuance</t>
  </si>
  <si>
    <t>Short Term Debt Issuance</t>
  </si>
  <si>
    <t>Short Term Debt Payments</t>
  </si>
  <si>
    <t xml:space="preserve"> Total Revenue</t>
  </si>
  <si>
    <t>% Diff</t>
  </si>
  <si>
    <t>Gross Margin</t>
  </si>
  <si>
    <t>Operating Margin</t>
  </si>
  <si>
    <t>Gross Profit 
(Total Revenue - Total Cost)</t>
  </si>
  <si>
    <t>Operating Income
(Gross Profit - Operating Expenses)</t>
  </si>
  <si>
    <t>EBITDA Margin</t>
  </si>
  <si>
    <t>Opearting Losses</t>
  </si>
  <si>
    <t>losses became MUCH smaller</t>
  </si>
  <si>
    <t>still not consistently profitable</t>
  </si>
  <si>
    <t>Cash Burn</t>
  </si>
  <si>
    <t>Operating  Cash Burn</t>
  </si>
  <si>
    <t>burning cash</t>
  </si>
  <si>
    <t>generating cash</t>
  </si>
  <si>
    <t>Free Cash Flow (FCF)</t>
  </si>
  <si>
    <t>FCF</t>
  </si>
  <si>
    <t>FCF
(Operating CF - Purchase of PPE)</t>
  </si>
  <si>
    <t>Debt Analysis</t>
  </si>
  <si>
    <t>Net Debt 
(Total Debt - End Cash Position)</t>
  </si>
  <si>
    <t>Profitability Trends</t>
  </si>
  <si>
    <t>Net Income
(Total Revenue - Total Expenses)</t>
  </si>
  <si>
    <t>Liquidity Ratios</t>
  </si>
  <si>
    <t>Current Ratio</t>
  </si>
  <si>
    <t>Current Ratio 
(Current Assets / Current Liabilities)</t>
  </si>
  <si>
    <t>Cash Ratio</t>
  </si>
  <si>
    <t>Current Ratio 
(Cash and Equivalents / Current Liabilities)</t>
  </si>
  <si>
    <t>EBITDA Growth</t>
  </si>
  <si>
    <t>Efficiency</t>
  </si>
  <si>
    <t>Asset Turnover</t>
  </si>
  <si>
    <t>Asset Turnover 
(Total Revenue / Total Assets)</t>
  </si>
  <si>
    <t>Margins</t>
  </si>
  <si>
    <t>A strong pandemic recovery growth</t>
  </si>
  <si>
    <t>Market saturation / Competition</t>
  </si>
  <si>
    <t>Relatively stable gross margins above 40%</t>
  </si>
  <si>
    <t xml:space="preserve">Core operations are covererd </t>
  </si>
  <si>
    <t>Operating leverage has improved</t>
  </si>
  <si>
    <t>Achieved financial sustainability</t>
  </si>
  <si>
    <t>Financial flexibilty and acquisition attractiveness</t>
  </si>
  <si>
    <t>CapEx</t>
  </si>
  <si>
    <t>Cash</t>
  </si>
  <si>
    <t>Revenue Growth</t>
  </si>
  <si>
    <t>2025A</t>
  </si>
  <si>
    <t>2026E</t>
  </si>
  <si>
    <t>2027E</t>
  </si>
  <si>
    <t>2028E</t>
  </si>
  <si>
    <t>2029E</t>
  </si>
  <si>
    <t>2030E</t>
  </si>
  <si>
    <t>Revenue</t>
  </si>
  <si>
    <t>Assumption</t>
  </si>
  <si>
    <t>WACC</t>
  </si>
  <si>
    <t>Terminal Growth Rate</t>
  </si>
  <si>
    <t>Tax Rate</t>
  </si>
  <si>
    <t>CapEx % Revenue</t>
  </si>
  <si>
    <t>Taxes</t>
  </si>
  <si>
    <t>D&amp;A</t>
  </si>
  <si>
    <t>Cost Ratio</t>
  </si>
  <si>
    <t>EBIT Margin</t>
  </si>
  <si>
    <t>Operating Income (EBIT)</t>
  </si>
  <si>
    <t>OpEx % Revenue</t>
  </si>
  <si>
    <t>Net Margin</t>
  </si>
  <si>
    <t>Cost % Revenue</t>
  </si>
  <si>
    <t>Change in NWC</t>
  </si>
  <si>
    <t>FCF Margin</t>
  </si>
  <si>
    <t>D&amp;A % Revenue</t>
  </si>
  <si>
    <t>Change in NWC % Revenue</t>
  </si>
  <si>
    <t>NWC</t>
  </si>
  <si>
    <t>Year</t>
  </si>
  <si>
    <t>Discount Factor</t>
  </si>
  <si>
    <t>Present Value</t>
  </si>
  <si>
    <t>Prepared By</t>
  </si>
  <si>
    <t>Description</t>
  </si>
  <si>
    <t>2022A</t>
  </si>
  <si>
    <t>2023A</t>
  </si>
  <si>
    <t>2024A</t>
  </si>
  <si>
    <t>Terminal Value</t>
  </si>
  <si>
    <t>PV of Terminal Value</t>
  </si>
  <si>
    <t>Enterprise Value</t>
  </si>
  <si>
    <t>Equity Value</t>
  </si>
  <si>
    <t>Implied Acquisition Value</t>
  </si>
  <si>
    <t>EV/EBITDA</t>
  </si>
  <si>
    <t>Tax</t>
  </si>
  <si>
    <t>NOPAT</t>
  </si>
  <si>
    <t>+ D&amp;A</t>
  </si>
  <si>
    <t>- CapEx</t>
  </si>
  <si>
    <t>- Change in NWC</t>
  </si>
  <si>
    <t>Acquisition Premium</t>
  </si>
  <si>
    <t>Synergy Type</t>
  </si>
  <si>
    <t>Financial Impact</t>
  </si>
  <si>
    <t>Combined driver pool improves efficiency and reduces idle time</t>
  </si>
  <si>
    <t>Lower operating costs</t>
  </si>
  <si>
    <t>Less pricing pressure in ride-sharing market</t>
  </si>
  <si>
    <t>Higher margins</t>
  </si>
  <si>
    <t>Larger customer base across regions</t>
  </si>
  <si>
    <t>Revenue growth</t>
  </si>
  <si>
    <t>Shared AI, routing and infrastructure</t>
  </si>
  <si>
    <t>Lower R&amp;D expense</t>
  </si>
  <si>
    <t>Elimination of duplicate departments</t>
  </si>
  <si>
    <t>Lower SG&amp;A</t>
  </si>
  <si>
    <t>Strategic Acquisition Synergies</t>
  </si>
  <si>
    <t>Driver network optimization</t>
  </si>
  <si>
    <t>Reduced competition</t>
  </si>
  <si>
    <t>Combined market share</t>
  </si>
  <si>
    <t>Shared technology platform</t>
  </si>
  <si>
    <t>Administrative efficiencies</t>
  </si>
  <si>
    <t>10% reduction in overlapping admin functions</t>
  </si>
  <si>
    <t>Reduced duplicate advertising spend</t>
  </si>
  <si>
    <t>Shared platform and infrastructure</t>
  </si>
  <si>
    <t>Better driver allocation and utilization</t>
  </si>
  <si>
    <t>Vendor and operational savings</t>
  </si>
  <si>
    <t>PV of Synergies</t>
  </si>
  <si>
    <t>Annual Savings (USD)</t>
  </si>
  <si>
    <t>Strategic acquision value</t>
  </si>
  <si>
    <t>Synergy Cash Flow</t>
  </si>
  <si>
    <t>Standalone Lyft EV</t>
  </si>
  <si>
    <t>Recommendation</t>
  </si>
  <si>
    <t>The acquisition would provide access to Lyft’s existing customer network, allowing Uber to increase ride volume, cross-sell services, and improve customer retention across mobility offerings.</t>
  </si>
  <si>
    <t>Cost Synergies</t>
  </si>
  <si>
    <t>Final Recommendation</t>
  </si>
  <si>
    <t>Uber × Lyft Acquisition Valuation Analysis</t>
  </si>
  <si>
    <t>Rashmi Leema [Financial Analyst/Data Analyst]</t>
  </si>
  <si>
    <t>Evaluate the strategic acquisition of Lyft by Uber using DCF valuation, synergy analysis, sensitivity analysis, and financial forecasting.</t>
  </si>
  <si>
    <t>Project Objective</t>
  </si>
  <si>
    <t>Tools Used</t>
  </si>
  <si>
    <t>• Financial Modeling • DCF • Valuation • Scenario Analysis • Forecasting</t>
  </si>
  <si>
    <t>FISCAL 2024</t>
  </si>
  <si>
    <t>FISCAL 2023</t>
  </si>
  <si>
    <t>% CHANGE</t>
  </si>
  <si>
    <t>FISCAL 2022</t>
  </si>
  <si>
    <t>FISCAL 2025</t>
  </si>
  <si>
    <t>HISTORICAL FINANCIALS</t>
  </si>
  <si>
    <t>LYFT, Inc. :</t>
  </si>
  <si>
    <t>Net Working Capital (NWC)</t>
  </si>
  <si>
    <t>NWC % Revenue</t>
  </si>
  <si>
    <t>Date</t>
  </si>
  <si>
    <t>Prepared by</t>
  </si>
  <si>
    <t>Project Name</t>
  </si>
  <si>
    <t>Rashmi Leema</t>
  </si>
  <si>
    <t>Project Description</t>
  </si>
  <si>
    <t>Skills Used</t>
  </si>
  <si>
    <t>Transaction Overview</t>
  </si>
  <si>
    <t>ASSUMPTIONS</t>
  </si>
  <si>
    <t>FISCAL 2026</t>
  </si>
  <si>
    <t>FISCAL 2027</t>
  </si>
  <si>
    <t>FISCAL 2028</t>
  </si>
  <si>
    <t>FISCAL 2029</t>
  </si>
  <si>
    <t>FISCAL 2030</t>
  </si>
  <si>
    <t>DISCOUNTED CASH FLOW</t>
  </si>
  <si>
    <t>FORECAST  MODEL &amp; FCF BUILD UP</t>
  </si>
  <si>
    <t>Perpetural Growth</t>
  </si>
  <si>
    <t>Average</t>
  </si>
  <si>
    <t>EV/EBITDA Multiple</t>
  </si>
  <si>
    <t>Debt</t>
  </si>
  <si>
    <t>No of Shares</t>
  </si>
  <si>
    <t>Intrinsic Value</t>
  </si>
  <si>
    <t>Equity Value/Share</t>
  </si>
  <si>
    <t>Dollars in thousands)</t>
  </si>
  <si>
    <t>Market Value</t>
  </si>
  <si>
    <t>Market Value vs Intrinsic Value</t>
  </si>
  <si>
    <t>Upside</t>
  </si>
  <si>
    <t>Total Annual Synergies</t>
  </si>
  <si>
    <t>PV</t>
  </si>
  <si>
    <t>A potential acquisition of Uber Technologies by Lyft would significantly strengthen Uber’s dominance in the North American ride hailing market by reducing direct competition and increasing market share.</t>
  </si>
  <si>
    <t>The acquisition could enhance Uber's route optimization, pricing algorithms, customer analytics, and autonomous driving research through combined datasets and technological capabilities.</t>
  </si>
  <si>
    <t>Estimated cost savings may arise from reduced overlappping operational expenses, workforce optimization, consolidated marketing spend, and technology integration.</t>
  </si>
  <si>
    <t>ENTERPRISE VALUE</t>
  </si>
  <si>
    <t>1   EXECUTIVE DASHBOARD</t>
  </si>
  <si>
    <t>2   TRANSACTION OVERVIEW</t>
  </si>
  <si>
    <t>3   HISTORIC FINANCIALS</t>
  </si>
  <si>
    <t>4   ASSUMPTIONS</t>
  </si>
  <si>
    <t>5   FORECAST MODEL &amp; FCF BUILD UP</t>
  </si>
  <si>
    <t>6   DCF &amp; SENSITIVITY ANALYSIS</t>
  </si>
  <si>
    <t>7   SYNERGIES ANALYSIS</t>
  </si>
  <si>
    <t>8   RECOMMENDATION</t>
  </si>
  <si>
    <t>INTRINSIC VALUE</t>
  </si>
  <si>
    <t>USD per share</t>
  </si>
  <si>
    <t>TOTAL SYNERGY VALUE</t>
  </si>
  <si>
    <t>USD thousand</t>
  </si>
  <si>
    <t>REVENUE CAGR (2025-2030)</t>
  </si>
  <si>
    <t>Lyft Inc;</t>
  </si>
  <si>
    <t>EBITDA MARGIN (2030)</t>
  </si>
  <si>
    <t>RECOMMENDATION</t>
  </si>
  <si>
    <t>Value Accretive</t>
  </si>
  <si>
    <t>CONDITIONAL BUY</t>
  </si>
  <si>
    <t>VALUATION SUMMARY</t>
  </si>
  <si>
    <t>Enterprise Value (USD thousand)</t>
  </si>
  <si>
    <t>+ Net Debt (USD thousand)'</t>
  </si>
  <si>
    <t>- Cash (USD thousand)</t>
  </si>
  <si>
    <t>Shares Outstanding (As of 31/12/2025)</t>
  </si>
  <si>
    <t>Current Share Price (USD)</t>
  </si>
  <si>
    <t>Implied Share Price (USD)</t>
  </si>
  <si>
    <t>Upside / (Downside)</t>
  </si>
  <si>
    <t>Acquirer</t>
  </si>
  <si>
    <t>Uber Technologies Inc.</t>
  </si>
  <si>
    <t>Target</t>
  </si>
  <si>
    <t>Lyft Inc.</t>
  </si>
  <si>
    <t>Transaction Type</t>
  </si>
  <si>
    <t>Strategic Acquisition</t>
  </si>
  <si>
    <t>Industry</t>
  </si>
  <si>
    <t>Ride Hailing / Mobility</t>
  </si>
  <si>
    <t xml:space="preserve">Currency </t>
  </si>
  <si>
    <t>USD</t>
  </si>
  <si>
    <t>Transaction Summary</t>
  </si>
  <si>
    <t>Terminal Growth  → / WACC↓</t>
  </si>
  <si>
    <r>
      <rPr>
        <b/>
        <sz val="11"/>
        <color rgb="FF002060"/>
        <rFont val="Aptos Narrow"/>
        <family val="2"/>
        <scheme val="minor"/>
      </rPr>
      <t>SUMMARY FINANCIALS</t>
    </r>
    <r>
      <rPr>
        <b/>
        <sz val="9"/>
        <color rgb="FF002060"/>
        <rFont val="Aptos Narrow"/>
        <family val="2"/>
        <scheme val="minor"/>
      </rPr>
      <t xml:space="preserve"> </t>
    </r>
    <r>
      <rPr>
        <sz val="9"/>
        <color rgb="FF002060"/>
        <rFont val="Aptos Narrow"/>
        <family val="2"/>
        <scheme val="minor"/>
      </rPr>
      <t>(USD thousand)</t>
    </r>
  </si>
  <si>
    <t>KEY TAKEWAYS</t>
  </si>
  <si>
    <t>At base case, the acqusition is value accretive with 192% upside.</t>
  </si>
  <si>
    <t>Strong revenue growth with improving EBITDA margins</t>
  </si>
  <si>
    <t>Sensitivity shows valuation most impacted by WACC and terminal gowth.</t>
  </si>
  <si>
    <t>Key risks include regulatory approval, integration execution and competitive response.</t>
  </si>
  <si>
    <t>Significant synergy value of USD 2,146 USD million (PV)</t>
  </si>
  <si>
    <t>Note: Historical figures (A) are actuals, Forecast figures € are projections based on management assumptions.</t>
  </si>
  <si>
    <t>Analysis Date</t>
  </si>
  <si>
    <t>STRATEGIC RATIONALE</t>
  </si>
  <si>
    <t>MARKET CONSOLIDATION</t>
  </si>
  <si>
    <t>COST SYNERGIES</t>
  </si>
  <si>
    <t>TECHNOLOGY INTEGRATION</t>
  </si>
  <si>
    <t>INCREASED PRICING POWER</t>
  </si>
  <si>
    <t>KEY RISKS</t>
  </si>
  <si>
    <t>Risk Factor</t>
  </si>
  <si>
    <t>Regulatory Approval</t>
  </si>
  <si>
    <t>Antitrust Concerns</t>
  </si>
  <si>
    <t>Integration Complexity</t>
  </si>
  <si>
    <t>Revenue Synergies</t>
  </si>
  <si>
    <t>Impact</t>
  </si>
  <si>
    <t>High risk of antitrust scrutiny and regulatory approval delays.</t>
  </si>
  <si>
    <t>Market concentration may face challenges from regulators globally.</t>
  </si>
  <si>
    <t>Integration technology, operations, and corporate cultures may be challenging.</t>
  </si>
  <si>
    <t>Uncertainty in achieving projected revenue synergies.</t>
  </si>
  <si>
    <t>High visibilty and strong potential for realizing cost savings.</t>
  </si>
  <si>
    <r>
      <t xml:space="preserve">Based on the DCF valuation, projected synergies, and long term strategic benefits, the acquisition appears to provide strong strategic value for Uber. 
The transaction could strengthen Uber’s market leadership, improve operational efficiencies, and enhance long term profitability.
However, the success of the acquisition would heavily depend on,
</t>
    </r>
    <r>
      <rPr>
        <i/>
        <sz val="11"/>
        <color rgb="FF002060"/>
        <rFont val="Aptos Narrow"/>
        <family val="2"/>
        <scheme val="minor"/>
      </rPr>
      <t>1. obtaining regulatory approval
2. successful integration of operations
3. effective realization of projected synergies</t>
    </r>
    <r>
      <rPr>
        <sz val="11"/>
        <color theme="1"/>
        <rFont val="Aptos Narrow"/>
        <family val="2"/>
        <scheme val="minor"/>
      </rPr>
      <t xml:space="preserve">
While the transaction presents measningful risks, particularly related to antitrust concerns and execcution challenges, the overall startegic and financial benefits may outweigh the potential drawbacks if managed effectively,
Therefore, the acquisition may be considered strategically favorable, subjected to desciplined valuation and successful execution of post merger integration initatives.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</si>
</sst>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
    <numFmt numFmtId="166" formatCode="_(* #,##0_);_(* \(#,##0\);_(* &quot;-&quot;??_);_(@_)"/>
    <numFmt numFmtId="179" formatCode="0%;0%"/>
    <numFmt numFmtId="181" formatCode="0.00%;0.00%"/>
    <numFmt numFmtId="183" formatCode="_(* #,##0.0000_);_(* \(#,##0.0000\);_(* &quot;-&quot;??_);_(@_)"/>
    <numFmt numFmtId="184" formatCode="0.0\x"/>
    <numFmt numFmtId="190" formatCode="[$-409]mmmm\ d\,\ yyyy;@"/>
  </numFmts>
  <fonts count="5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Manrope"/>
    </font>
    <font>
      <b/>
      <sz val="24"/>
      <color theme="0"/>
      <name val="Manrope"/>
    </font>
    <font>
      <b/>
      <sz val="11"/>
      <color theme="1"/>
      <name val="Manrope"/>
    </font>
    <font>
      <b/>
      <sz val="11"/>
      <color theme="0"/>
      <name val="Aptos Narrow"/>
      <family val="2"/>
      <scheme val="minor"/>
    </font>
    <font>
      <u/>
      <sz val="11"/>
      <color theme="10"/>
      <name val="Aptos Narrow"/>
      <family val="2"/>
      <scheme val="minor"/>
    </font>
    <font>
      <sz val="11"/>
      <color theme="1"/>
      <name val="Times New Roman"/>
      <family val="1"/>
    </font>
    <font>
      <i/>
      <sz val="8.5"/>
      <color rgb="FF000000"/>
      <name val="Arial Narrow"/>
      <family val="2"/>
    </font>
    <font>
      <b/>
      <sz val="8.5"/>
      <color rgb="FF000000"/>
      <name val="Arial"/>
      <family val="2"/>
    </font>
    <font>
      <b/>
      <i/>
      <sz val="8.5"/>
      <color rgb="FF000000"/>
      <name val="Arial"/>
      <family val="2"/>
    </font>
    <font>
      <b/>
      <i/>
      <sz val="8.5"/>
      <color theme="1" tint="0.14999847407452621"/>
      <name val="Arial"/>
      <family val="2"/>
    </font>
    <font>
      <b/>
      <sz val="11"/>
      <color theme="1"/>
      <name val="Times New Roman"/>
      <family val="1"/>
    </font>
    <font>
      <b/>
      <i/>
      <sz val="11"/>
      <color theme="1" tint="0.14999847407452621"/>
      <name val="Times New Roman"/>
      <family val="1"/>
    </font>
    <font>
      <b/>
      <sz val="8.5"/>
      <name val="Arial"/>
      <family val="2"/>
    </font>
    <font>
      <b/>
      <sz val="11"/>
      <name val="Times New Roman"/>
      <family val="1"/>
    </font>
    <font>
      <sz val="11"/>
      <name val="Times New Roman"/>
      <family val="1"/>
    </font>
    <font>
      <b/>
      <sz val="10"/>
      <color rgb="FF000000"/>
      <name val="Arial"/>
      <family val="2"/>
    </font>
    <font>
      <sz val="10"/>
      <color theme="1"/>
      <name val="Aptos Narrow"/>
      <family val="2"/>
      <scheme val="minor"/>
    </font>
    <font>
      <sz val="11"/>
      <color rgb="FF0070C0"/>
      <name val="Times New Roman"/>
      <family val="1"/>
    </font>
    <font>
      <i/>
      <sz val="8.5"/>
      <color theme="1"/>
      <name val="Arial Narrow"/>
      <family val="2"/>
    </font>
    <font>
      <b/>
      <sz val="8.5"/>
      <color theme="1"/>
      <name val="Arial"/>
      <family val="2"/>
    </font>
    <font>
      <sz val="8.5"/>
      <color theme="1"/>
      <name val="Arial"/>
      <family val="2"/>
    </font>
    <font>
      <i/>
      <sz val="8.5"/>
      <color theme="1"/>
      <name val="Arial"/>
      <family val="2"/>
    </font>
    <font>
      <b/>
      <sz val="11"/>
      <color rgb="FF0070C0"/>
      <name val="Times New Roman"/>
      <family val="1"/>
    </font>
    <font>
      <sz val="8.5"/>
      <color rgb="FF000000"/>
      <name val="Arial"/>
      <family val="2"/>
    </font>
    <font>
      <b/>
      <sz val="11"/>
      <color rgb="FF000000"/>
      <name val="Times New Roman"/>
      <family val="1"/>
    </font>
    <font>
      <sz val="9"/>
      <color theme="1"/>
      <name val="Arial"/>
      <family val="2"/>
    </font>
    <font>
      <sz val="8"/>
      <name val="Aptos Narrow"/>
      <family val="2"/>
      <scheme val="minor"/>
    </font>
    <font>
      <b/>
      <sz val="22"/>
      <color rgb="FF002060"/>
      <name val="Aptos Narrow"/>
      <family val="2"/>
      <scheme val="minor"/>
    </font>
    <font>
      <sz val="11"/>
      <color rgb="FF002060"/>
      <name val="Aptos Narrow"/>
      <family val="2"/>
      <scheme val="minor"/>
    </font>
    <font>
      <b/>
      <sz val="11"/>
      <color rgb="FF002060"/>
      <name val="Aptos Narrow"/>
      <family val="2"/>
      <scheme val="minor"/>
    </font>
    <font>
      <i/>
      <sz val="11"/>
      <color rgb="FF002060"/>
      <name val="Aptos Narrow"/>
      <family val="2"/>
      <scheme val="minor"/>
    </font>
    <font>
      <i/>
      <sz val="10"/>
      <color rgb="FF002060"/>
      <name val="Aptos Narrow"/>
      <family val="2"/>
      <scheme val="minor"/>
    </font>
    <font>
      <b/>
      <sz val="12"/>
      <color theme="6"/>
      <name val="Aptos Narrow"/>
      <family val="2"/>
      <scheme val="minor"/>
    </font>
    <font>
      <sz val="9"/>
      <color rgb="FF002060"/>
      <name val="Arial"/>
      <family val="2"/>
    </font>
    <font>
      <b/>
      <sz val="22"/>
      <color rgb="FF002060"/>
      <name val="Times New Roman"/>
      <family val="1"/>
    </font>
    <font>
      <b/>
      <sz val="9"/>
      <color theme="1"/>
      <name val="Arial"/>
      <family val="2"/>
    </font>
    <font>
      <b/>
      <sz val="11"/>
      <color theme="9"/>
      <name val="Times New Roman"/>
      <family val="1"/>
    </font>
    <font>
      <b/>
      <sz val="11"/>
      <color rgb="FF002060"/>
      <name val="Times New Roman"/>
      <family val="1"/>
    </font>
    <font>
      <b/>
      <sz val="9"/>
      <color rgb="FF002060"/>
      <name val="Aptos Narrow"/>
      <family val="2"/>
      <scheme val="minor"/>
    </font>
    <font>
      <sz val="9"/>
      <color rgb="FF002060"/>
      <name val="Aptos Narrow"/>
      <family val="2"/>
      <scheme val="minor"/>
    </font>
    <font>
      <i/>
      <sz val="9"/>
      <color rgb="FF002060"/>
      <name val="Arial"/>
      <family val="2"/>
    </font>
    <font>
      <b/>
      <sz val="18"/>
      <color rgb="FF002060"/>
      <name val="Aptos Narrow"/>
      <family val="2"/>
      <scheme val="minor"/>
    </font>
    <font>
      <b/>
      <sz val="11"/>
      <color theme="6"/>
      <name val="Aptos Narrow"/>
      <family val="2"/>
      <scheme val="minor"/>
    </font>
    <font>
      <b/>
      <sz val="11"/>
      <color rgb="FFCC9B00"/>
      <name val="Aptos Narrow"/>
      <family val="2"/>
      <scheme val="minor"/>
    </font>
    <font>
      <b/>
      <sz val="11"/>
      <color theme="8"/>
      <name val="Aptos Narrow"/>
      <family val="2"/>
      <scheme val="minor"/>
    </font>
    <font>
      <b/>
      <sz val="11"/>
      <color theme="0"/>
      <name val="Arial"/>
      <family val="2"/>
    </font>
    <font>
      <b/>
      <sz val="18"/>
      <color theme="0" tint="-4.9989318521683403E-2"/>
      <name val="Aptos Narrow"/>
      <family val="2"/>
      <scheme val="minor"/>
    </font>
    <font>
      <sz val="11"/>
      <color rgb="FF002060"/>
      <name val="Times New Roman"/>
      <family val="1"/>
    </font>
  </fonts>
  <fills count="8">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AFCAFF"/>
        <bgColor indexed="64"/>
      </patternFill>
    </fill>
  </fills>
  <borders count="65">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right/>
      <top/>
      <bottom style="thin">
        <color theme="0" tint="-0.34998626667073579"/>
      </bottom>
      <diagonal/>
    </border>
    <border>
      <left/>
      <right/>
      <top/>
      <bottom style="medium">
        <color theme="1"/>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rgb="FF808080"/>
      </top>
      <bottom/>
      <diagonal/>
    </border>
    <border>
      <left/>
      <right/>
      <top style="thin">
        <color rgb="FF808080"/>
      </top>
      <bottom style="thin">
        <color rgb="FF808080"/>
      </bottom>
      <diagonal/>
    </border>
    <border>
      <left/>
      <right/>
      <top/>
      <bottom style="thin">
        <color rgb="FF808080"/>
      </bottom>
      <diagonal/>
    </border>
    <border>
      <left/>
      <right/>
      <top style="thin">
        <color theme="1"/>
      </top>
      <bottom style="medium">
        <color theme="1"/>
      </bottom>
      <diagonal/>
    </border>
    <border>
      <left/>
      <right/>
      <top style="medium">
        <color theme="1"/>
      </top>
      <bottom/>
      <diagonal/>
    </border>
    <border>
      <left/>
      <right/>
      <top style="thin">
        <color theme="1"/>
      </top>
      <bottom/>
      <diagonal/>
    </border>
    <border>
      <left/>
      <right/>
      <top style="thin">
        <color theme="1"/>
      </top>
      <bottom style="double">
        <color theme="1"/>
      </bottom>
      <diagonal/>
    </border>
    <border>
      <left/>
      <right/>
      <top style="thin">
        <color theme="0" tint="-0.34998626667073579"/>
      </top>
      <bottom style="thin">
        <color theme="0" tint="-0.34998626667073579"/>
      </bottom>
      <diagonal/>
    </border>
    <border>
      <left style="thick">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thick">
        <color theme="0" tint="-0.249977111117893"/>
      </left>
      <right/>
      <top/>
      <bottom/>
      <diagonal/>
    </border>
    <border>
      <left/>
      <right style="thick">
        <color theme="0" tint="-0.249977111117893"/>
      </right>
      <top/>
      <bottom/>
      <diagonal/>
    </border>
    <border>
      <left style="thick">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style="thick">
        <color theme="0" tint="-0.249977111117893"/>
      </left>
      <right/>
      <top/>
      <bottom style="medium">
        <color theme="0" tint="-0.249977111117893"/>
      </bottom>
      <diagonal/>
    </border>
    <border>
      <left/>
      <right/>
      <top/>
      <bottom style="medium">
        <color theme="0" tint="-0.249977111117893"/>
      </bottom>
      <diagonal/>
    </border>
    <border>
      <left/>
      <right style="thick">
        <color theme="0" tint="-0.249977111117893"/>
      </right>
      <top/>
      <bottom style="medium">
        <color theme="0" tint="-0.249977111117893"/>
      </bottom>
      <diagonal/>
    </border>
    <border>
      <left style="thick">
        <color theme="0" tint="-0.249977111117893"/>
      </left>
      <right/>
      <top style="medium">
        <color theme="0" tint="-0.249977111117893"/>
      </top>
      <bottom/>
      <diagonal/>
    </border>
    <border>
      <left/>
      <right/>
      <top style="medium">
        <color theme="0" tint="-0.249977111117893"/>
      </top>
      <bottom/>
      <diagonal/>
    </border>
    <border>
      <left/>
      <right style="thick">
        <color theme="0" tint="-0.249977111117893"/>
      </right>
      <top style="medium">
        <color theme="0" tint="-0.249977111117893"/>
      </top>
      <bottom/>
      <diagonal/>
    </border>
    <border>
      <left/>
      <right/>
      <top style="thick">
        <color theme="0" tint="-0.249977111117893"/>
      </top>
      <bottom style="thin">
        <color theme="0" tint="-0.34998626667073579"/>
      </bottom>
      <diagonal/>
    </border>
    <border>
      <left/>
      <right style="thick">
        <color theme="0" tint="-0.249977111117893"/>
      </right>
      <top style="thick">
        <color theme="0" tint="-0.249977111117893"/>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ck">
        <color theme="0" tint="-0.249977111117893"/>
      </top>
      <bottom style="thin">
        <color theme="0" tint="-0.34998626667073579"/>
      </bottom>
      <diagonal/>
    </border>
    <border>
      <left style="thick">
        <color theme="0" tint="-0.249977111117893"/>
      </left>
      <right/>
      <top style="thin">
        <color theme="0" tint="-0.34998626667073579"/>
      </top>
      <bottom/>
      <diagonal/>
    </border>
    <border>
      <left style="thick">
        <color theme="0" tint="-0.249977111117893"/>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ck">
        <color theme="0" tint="-0.249977111117893"/>
      </right>
      <top style="thin">
        <color theme="0" tint="-0.34998626667073579"/>
      </top>
      <bottom/>
      <diagonal/>
    </border>
    <border>
      <left/>
      <right style="hair">
        <color theme="0" tint="-0.34998626667073579"/>
      </right>
      <top/>
      <bottom/>
      <diagonal/>
    </border>
    <border>
      <left/>
      <right/>
      <top style="thin">
        <color theme="0" tint="-0.34998626667073579"/>
      </top>
      <bottom/>
      <diagonal/>
    </border>
    <border>
      <left/>
      <right/>
      <top/>
      <bottom style="medium">
        <color rgb="FF002060"/>
      </bottom>
      <diagonal/>
    </border>
    <border>
      <left/>
      <right/>
      <top style="thin">
        <color rgb="FF808080"/>
      </top>
      <bottom style="medium">
        <color rgb="FF002060"/>
      </bottom>
      <diagonal/>
    </border>
    <border>
      <left style="thick">
        <color theme="0" tint="-0.34998626667073579"/>
      </left>
      <right/>
      <top/>
      <bottom style="thin">
        <color rgb="FF808080"/>
      </bottom>
      <diagonal/>
    </border>
    <border>
      <left/>
      <right style="thick">
        <color theme="0" tint="-0.34998626667073579"/>
      </right>
      <top/>
      <bottom style="thin">
        <color rgb="FF808080"/>
      </bottom>
      <diagonal/>
    </border>
    <border>
      <left style="thick">
        <color theme="0" tint="-0.34998626667073579"/>
      </left>
      <right/>
      <top style="thin">
        <color rgb="FF808080"/>
      </top>
      <bottom/>
      <diagonal/>
    </border>
    <border>
      <left/>
      <right style="thick">
        <color theme="0" tint="-0.34998626667073579"/>
      </right>
      <top style="thin">
        <color rgb="FF808080"/>
      </top>
      <bottom/>
      <diagonal/>
    </border>
    <border>
      <left style="thick">
        <color theme="0" tint="-0.34998626667073579"/>
      </left>
      <right/>
      <top/>
      <bottom style="medium">
        <color rgb="FF002060"/>
      </bottom>
      <diagonal/>
    </border>
    <border>
      <left/>
      <right style="thick">
        <color theme="0" tint="-0.34998626667073579"/>
      </right>
      <top/>
      <bottom style="medium">
        <color rgb="FF002060"/>
      </bottom>
      <diagonal/>
    </border>
    <border>
      <left style="thick">
        <color theme="0" tint="-0.34998626667073579"/>
      </left>
      <right/>
      <top/>
      <bottom/>
      <diagonal/>
    </border>
    <border>
      <left/>
      <right style="thick">
        <color theme="0" tint="-0.34998626667073579"/>
      </right>
      <top/>
      <bottom/>
      <diagonal/>
    </border>
    <border>
      <left style="thick">
        <color theme="0" tint="-0.34998626667073579"/>
      </left>
      <right/>
      <top style="thin">
        <color rgb="FF808080"/>
      </top>
      <bottom style="thick">
        <color theme="0" tint="-0.34998626667073579"/>
      </bottom>
      <diagonal/>
    </border>
    <border>
      <left/>
      <right/>
      <top style="thin">
        <color rgb="FF808080"/>
      </top>
      <bottom style="thick">
        <color theme="0" tint="-0.34998626667073579"/>
      </bottom>
      <diagonal/>
    </border>
    <border>
      <left/>
      <right style="thick">
        <color theme="0" tint="-0.34998626667073579"/>
      </right>
      <top style="thin">
        <color rgb="FF808080"/>
      </top>
      <bottom style="thick">
        <color theme="0" tint="-0.34998626667073579"/>
      </bottom>
      <diagonal/>
    </border>
    <border>
      <left style="thick">
        <color theme="0" tint="-0.34998626667073579"/>
      </left>
      <right/>
      <top style="thick">
        <color theme="0" tint="-0.34998626667073579"/>
      </top>
      <bottom/>
      <diagonal/>
    </border>
    <border>
      <left/>
      <right/>
      <top style="thick">
        <color theme="0" tint="-0.34998626667073579"/>
      </top>
      <bottom/>
      <diagonal/>
    </border>
    <border>
      <left/>
      <right style="thick">
        <color theme="0" tint="-0.34998626667073579"/>
      </right>
      <top style="thick">
        <color theme="0" tint="-0.34998626667073579"/>
      </top>
      <bottom/>
      <diagonal/>
    </border>
    <border>
      <left style="thick">
        <color theme="0" tint="-0.34998626667073579"/>
      </left>
      <right/>
      <top style="thin">
        <color rgb="FF808080"/>
      </top>
      <bottom style="medium">
        <color rgb="FF002060"/>
      </bottom>
      <diagonal/>
    </border>
    <border>
      <left style="thick">
        <color theme="0" tint="-0.34998626667073579"/>
      </left>
      <right/>
      <top/>
      <bottom style="thick">
        <color theme="0" tint="-0.34998626667073579"/>
      </bottom>
      <diagonal/>
    </border>
    <border>
      <left/>
      <right/>
      <top/>
      <bottom style="thick">
        <color theme="0" tint="-0.34998626667073579"/>
      </bottom>
      <diagonal/>
    </border>
    <border>
      <left/>
      <right style="thick">
        <color theme="0" tint="-0.34998626667073579"/>
      </right>
      <top/>
      <bottom style="thick">
        <color theme="0" tint="-0.34998626667073579"/>
      </bottom>
      <diagonal/>
    </border>
    <border>
      <left style="thick">
        <color theme="0" tint="-0.34998626667073579"/>
      </left>
      <right/>
      <top style="thin">
        <color rgb="FF808080"/>
      </top>
      <bottom style="thin">
        <color rgb="FF808080"/>
      </bottom>
      <diagonal/>
    </border>
    <border>
      <left/>
      <right style="thick">
        <color theme="0" tint="-0.34998626667073579"/>
      </right>
      <top style="thin">
        <color rgb="FF808080"/>
      </top>
      <bottom style="thin">
        <color rgb="FF808080"/>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cellStyleXfs>
  <cellXfs count="390">
    <xf numFmtId="0" fontId="0" fillId="0" borderId="0" xfId="0"/>
    <xf numFmtId="14" fontId="0" fillId="0" borderId="0" xfId="0" applyNumberFormat="1"/>
    <xf numFmtId="3" fontId="0" fillId="0" borderId="0" xfId="0" applyNumberFormat="1"/>
    <xf numFmtId="0" fontId="0" fillId="0" borderId="1" xfId="0" applyBorder="1"/>
    <xf numFmtId="3" fontId="0" fillId="0" borderId="1" xfId="0" applyNumberFormat="1" applyBorder="1"/>
    <xf numFmtId="0" fontId="2" fillId="0" borderId="1" xfId="0" applyFont="1" applyBorder="1"/>
    <xf numFmtId="14" fontId="2" fillId="0" borderId="1" xfId="0" applyNumberFormat="1" applyFont="1" applyBorder="1"/>
    <xf numFmtId="0" fontId="2" fillId="0" borderId="1" xfId="0" applyFont="1" applyBorder="1" applyAlignment="1">
      <alignment horizontal="center"/>
    </xf>
    <xf numFmtId="14" fontId="2" fillId="0" borderId="1" xfId="0" applyNumberFormat="1" applyFont="1" applyBorder="1" applyAlignment="1">
      <alignment horizontal="center"/>
    </xf>
    <xf numFmtId="4" fontId="0" fillId="0" borderId="1" xfId="0" applyNumberFormat="1" applyBorder="1"/>
    <xf numFmtId="164" fontId="0" fillId="0" borderId="0" xfId="2" applyNumberFormat="1" applyFont="1"/>
    <xf numFmtId="0" fontId="2" fillId="0" borderId="1" xfId="0"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164" fontId="0" fillId="0" borderId="0" xfId="2" applyNumberFormat="1" applyFont="1" applyAlignment="1">
      <alignment horizontal="center" vertical="top"/>
    </xf>
    <xf numFmtId="164" fontId="0" fillId="0" borderId="1" xfId="2" applyNumberFormat="1" applyFont="1" applyBorder="1" applyAlignment="1">
      <alignment horizontal="center" vertical="top"/>
    </xf>
    <xf numFmtId="14" fontId="2" fillId="0" borderId="1" xfId="0" applyNumberFormat="1" applyFont="1" applyBorder="1" applyAlignment="1">
      <alignment horizontal="center" vertical="top"/>
    </xf>
    <xf numFmtId="3" fontId="0" fillId="0" borderId="1" xfId="0" applyNumberFormat="1" applyBorder="1" applyAlignment="1">
      <alignment horizontal="center" vertical="top"/>
    </xf>
    <xf numFmtId="0" fontId="0" fillId="0" borderId="0" xfId="0" applyAlignment="1">
      <alignment horizontal="center" vertical="top"/>
    </xf>
    <xf numFmtId="0" fontId="0" fillId="0" borderId="0" xfId="0" applyAlignment="1">
      <alignment horizontal="left" vertical="top"/>
    </xf>
    <xf numFmtId="2" fontId="0" fillId="0" borderId="1" xfId="0" applyNumberFormat="1" applyBorder="1" applyAlignment="1">
      <alignment horizontal="center" vertical="top"/>
    </xf>
    <xf numFmtId="3" fontId="0" fillId="0" borderId="1" xfId="0" applyNumberFormat="1" applyBorder="1" applyAlignment="1">
      <alignment horizontal="center" vertical="top" wrapText="1"/>
    </xf>
    <xf numFmtId="14" fontId="2" fillId="0" borderId="0" xfId="0" applyNumberFormat="1" applyFont="1" applyAlignment="1">
      <alignment horizontal="center" vertical="top"/>
    </xf>
    <xf numFmtId="3" fontId="0" fillId="0" borderId="0" xfId="0" applyNumberFormat="1" applyAlignment="1">
      <alignment horizontal="center" vertical="top"/>
    </xf>
    <xf numFmtId="164" fontId="0" fillId="0" borderId="0" xfId="2" applyNumberFormat="1" applyFont="1" applyBorder="1" applyAlignment="1">
      <alignment horizontal="center" vertical="top"/>
    </xf>
    <xf numFmtId="14" fontId="0" fillId="0" borderId="0" xfId="0" applyNumberFormat="1" applyAlignment="1">
      <alignment horizontal="center" vertical="top"/>
    </xf>
    <xf numFmtId="0" fontId="3" fillId="0" borderId="0" xfId="0" applyFont="1"/>
    <xf numFmtId="0" fontId="3" fillId="3" borderId="0" xfId="0" applyFont="1" applyFill="1"/>
    <xf numFmtId="0" fontId="5" fillId="0" borderId="0" xfId="0" applyFont="1"/>
    <xf numFmtId="0" fontId="4" fillId="2" borderId="0" xfId="0" applyFont="1" applyFill="1" applyAlignment="1">
      <alignment horizontal="center" vertical="top" wrapText="1"/>
    </xf>
    <xf numFmtId="0" fontId="10" fillId="0" borderId="10" xfId="0" applyFont="1" applyBorder="1" applyAlignment="1">
      <alignment horizontal="left" wrapText="1"/>
    </xf>
    <xf numFmtId="166" fontId="8" fillId="0" borderId="10" xfId="1" applyNumberFormat="1" applyFont="1" applyBorder="1" applyAlignment="1">
      <alignment vertical="center" wrapText="1"/>
    </xf>
    <xf numFmtId="10" fontId="8" fillId="0" borderId="10" xfId="2" applyNumberFormat="1" applyFont="1" applyBorder="1" applyAlignment="1">
      <alignment vertical="center" wrapText="1"/>
    </xf>
    <xf numFmtId="166" fontId="8" fillId="0" borderId="10" xfId="1" applyNumberFormat="1" applyFont="1" applyBorder="1" applyAlignment="1">
      <alignment horizontal="center" vertical="center" wrapText="1"/>
    </xf>
    <xf numFmtId="166" fontId="8" fillId="0" borderId="0" xfId="1" applyNumberFormat="1" applyFont="1" applyBorder="1" applyAlignment="1">
      <alignment horizontal="center" vertical="center" wrapText="1"/>
    </xf>
    <xf numFmtId="10" fontId="8" fillId="0" borderId="10" xfId="2" applyNumberFormat="1" applyFont="1" applyBorder="1" applyAlignment="1">
      <alignment horizontal="right" vertical="center" wrapText="1"/>
    </xf>
    <xf numFmtId="0" fontId="10" fillId="0" borderId="10" xfId="0" applyFont="1" applyBorder="1" applyAlignment="1">
      <alignment horizontal="left" wrapText="1" indent="2"/>
    </xf>
    <xf numFmtId="0" fontId="12" fillId="0" borderId="10" xfId="0" applyFont="1" applyBorder="1" applyAlignment="1">
      <alignment horizontal="left" wrapText="1" indent="3"/>
    </xf>
    <xf numFmtId="10" fontId="13" fillId="0" borderId="10" xfId="2" applyNumberFormat="1" applyFont="1" applyBorder="1" applyAlignment="1">
      <alignment horizontal="right" vertical="center" wrapText="1"/>
    </xf>
    <xf numFmtId="10" fontId="13" fillId="0" borderId="10" xfId="2" applyNumberFormat="1" applyFont="1" applyBorder="1" applyAlignment="1">
      <alignment vertical="center" wrapText="1"/>
    </xf>
    <xf numFmtId="10" fontId="14" fillId="0" borderId="10" xfId="2" applyNumberFormat="1" applyFont="1" applyBorder="1" applyAlignment="1">
      <alignment horizontal="right" vertical="center" wrapText="1"/>
    </xf>
    <xf numFmtId="0" fontId="10" fillId="0" borderId="10" xfId="0" applyFont="1" applyBorder="1" applyAlignment="1">
      <alignment horizontal="left" wrapText="1" indent="2"/>
    </xf>
    <xf numFmtId="0" fontId="15" fillId="0" borderId="10" xfId="0" applyFont="1" applyBorder="1" applyAlignment="1">
      <alignment horizontal="left" wrapText="1" indent="3"/>
    </xf>
    <xf numFmtId="10" fontId="16" fillId="0" borderId="10" xfId="2" applyNumberFormat="1" applyFont="1" applyBorder="1" applyAlignment="1">
      <alignment horizontal="right" vertical="center" wrapText="1"/>
    </xf>
    <xf numFmtId="10" fontId="17" fillId="0" borderId="10" xfId="2" applyNumberFormat="1" applyFont="1" applyBorder="1" applyAlignment="1">
      <alignment vertical="center" wrapText="1"/>
    </xf>
    <xf numFmtId="166" fontId="16" fillId="0" borderId="10" xfId="2" applyNumberFormat="1" applyFont="1" applyBorder="1" applyAlignment="1">
      <alignment horizontal="right" vertical="center" wrapText="1"/>
    </xf>
    <xf numFmtId="166" fontId="8" fillId="0" borderId="10" xfId="1" applyNumberFormat="1" applyFont="1" applyFill="1" applyBorder="1" applyAlignment="1">
      <alignment horizontal="center" vertical="center" wrapText="1"/>
    </xf>
    <xf numFmtId="0" fontId="0" fillId="0" borderId="0" xfId="0" applyAlignment="1">
      <alignment vertical="center"/>
    </xf>
    <xf numFmtId="0" fontId="0" fillId="0" borderId="0" xfId="0" applyBorder="1"/>
    <xf numFmtId="0" fontId="19" fillId="0" borderId="0" xfId="0" applyFont="1" applyAlignment="1">
      <alignment vertical="center"/>
    </xf>
    <xf numFmtId="0" fontId="11" fillId="0" borderId="12" xfId="0" applyFont="1" applyBorder="1" applyAlignment="1">
      <alignment horizontal="left" vertical="center" wrapText="1"/>
    </xf>
    <xf numFmtId="181" fontId="20" fillId="0" borderId="0" xfId="2" applyNumberFormat="1" applyFont="1" applyAlignment="1">
      <alignment horizontal="right" vertical="center"/>
    </xf>
    <xf numFmtId="10" fontId="14" fillId="0" borderId="11" xfId="2" applyNumberFormat="1" applyFont="1" applyBorder="1" applyAlignment="1">
      <alignment horizontal="right" vertical="center" wrapText="1"/>
    </xf>
    <xf numFmtId="0" fontId="12" fillId="0" borderId="11" xfId="0" applyFont="1" applyBorder="1" applyAlignment="1">
      <alignment horizontal="left" wrapText="1" indent="3"/>
    </xf>
    <xf numFmtId="166" fontId="8" fillId="0" borderId="11" xfId="1" applyNumberFormat="1" applyFont="1" applyBorder="1" applyAlignment="1">
      <alignment horizontal="center" vertical="center" wrapText="1"/>
    </xf>
    <xf numFmtId="166" fontId="8" fillId="0" borderId="11" xfId="1" applyNumberFormat="1" applyFont="1" applyFill="1" applyBorder="1" applyAlignment="1">
      <alignment horizontal="center" vertical="center" wrapText="1"/>
    </xf>
    <xf numFmtId="0" fontId="0" fillId="0" borderId="0" xfId="0" applyFill="1"/>
    <xf numFmtId="0" fontId="10" fillId="0" borderId="10" xfId="0" applyFont="1" applyFill="1" applyBorder="1" applyAlignment="1">
      <alignment horizontal="left" wrapText="1"/>
    </xf>
    <xf numFmtId="166" fontId="8" fillId="0" borderId="10" xfId="1" applyNumberFormat="1" applyFont="1" applyFill="1" applyBorder="1" applyAlignment="1">
      <alignment vertical="center" wrapText="1"/>
    </xf>
    <xf numFmtId="10" fontId="13" fillId="0" borderId="10" xfId="2" applyNumberFormat="1" applyFont="1" applyFill="1" applyBorder="1" applyAlignment="1">
      <alignment vertical="center" wrapText="1"/>
    </xf>
    <xf numFmtId="0" fontId="0" fillId="0" borderId="0" xfId="0" applyFill="1" applyBorder="1"/>
    <xf numFmtId="0" fontId="10" fillId="0" borderId="0" xfId="0" applyFont="1" applyFill="1" applyBorder="1" applyAlignment="1">
      <alignment horizontal="left" wrapText="1"/>
    </xf>
    <xf numFmtId="166" fontId="8" fillId="0" borderId="0" xfId="1" applyNumberFormat="1" applyFont="1" applyFill="1" applyBorder="1" applyAlignment="1">
      <alignment horizontal="center" vertical="center" wrapText="1"/>
    </xf>
    <xf numFmtId="166" fontId="8" fillId="0" borderId="0" xfId="1" applyNumberFormat="1" applyFont="1" applyFill="1" applyBorder="1" applyAlignment="1">
      <alignment vertical="center" wrapText="1"/>
    </xf>
    <xf numFmtId="10" fontId="13" fillId="0" borderId="0" xfId="2" applyNumberFormat="1" applyFont="1" applyFill="1" applyBorder="1" applyAlignment="1">
      <alignment vertical="center" wrapText="1"/>
    </xf>
    <xf numFmtId="0" fontId="11" fillId="0" borderId="12" xfId="0" applyFont="1" applyBorder="1" applyAlignment="1">
      <alignment horizontal="left" wrapText="1"/>
    </xf>
    <xf numFmtId="0" fontId="8" fillId="0" borderId="12" xfId="0" applyFont="1" applyBorder="1" applyAlignment="1">
      <alignment horizontal="center" vertical="center" wrapText="1"/>
    </xf>
    <xf numFmtId="0" fontId="8" fillId="0" borderId="12" xfId="0" applyFont="1" applyBorder="1" applyAlignment="1">
      <alignment vertical="center" wrapText="1"/>
    </xf>
    <xf numFmtId="0" fontId="21" fillId="0" borderId="13" xfId="0" applyFont="1" applyBorder="1" applyAlignment="1">
      <alignment horizontal="left" vertical="center" wrapText="1"/>
    </xf>
    <xf numFmtId="0" fontId="22" fillId="0" borderId="13" xfId="0" applyFont="1" applyBorder="1" applyAlignment="1">
      <alignment horizontal="center" wrapText="1"/>
    </xf>
    <xf numFmtId="0" fontId="10" fillId="0" borderId="0" xfId="0" applyFont="1" applyBorder="1" applyAlignment="1">
      <alignment horizontal="left"/>
    </xf>
    <xf numFmtId="0" fontId="10" fillId="0" borderId="0" xfId="0" applyFont="1" applyBorder="1" applyAlignment="1">
      <alignment horizontal="left"/>
    </xf>
    <xf numFmtId="166" fontId="8" fillId="0" borderId="14" xfId="1" applyNumberFormat="1" applyFont="1" applyBorder="1" applyAlignment="1">
      <alignment horizontal="left"/>
    </xf>
    <xf numFmtId="166" fontId="8" fillId="0" borderId="0" xfId="1" applyNumberFormat="1" applyFont="1" applyBorder="1" applyAlignment="1">
      <alignment horizontal="left"/>
    </xf>
    <xf numFmtId="166" fontId="8" fillId="0" borderId="15" xfId="1" applyNumberFormat="1" applyFont="1" applyBorder="1" applyAlignment="1">
      <alignment horizontal="left"/>
    </xf>
    <xf numFmtId="0" fontId="10" fillId="0" borderId="14" xfId="0" applyFont="1" applyBorder="1" applyAlignment="1">
      <alignment horizontal="left"/>
    </xf>
    <xf numFmtId="166" fontId="8" fillId="0" borderId="0" xfId="1" applyNumberFormat="1" applyFont="1" applyBorder="1" applyAlignment="1">
      <alignment horizontal="left"/>
    </xf>
    <xf numFmtId="179" fontId="20" fillId="0" borderId="0" xfId="2" applyNumberFormat="1" applyFont="1" applyAlignment="1">
      <alignment horizontal="left"/>
    </xf>
    <xf numFmtId="166" fontId="8" fillId="5" borderId="0" xfId="0" applyNumberFormat="1" applyFont="1" applyFill="1"/>
    <xf numFmtId="184" fontId="20" fillId="0" borderId="0" xfId="1" applyNumberFormat="1" applyFont="1" applyAlignment="1">
      <alignment horizontal="right" vertical="center"/>
    </xf>
    <xf numFmtId="9" fontId="8" fillId="5" borderId="0" xfId="2" applyFont="1" applyFill="1"/>
    <xf numFmtId="166" fontId="8" fillId="0" borderId="0" xfId="1" applyNumberFormat="1" applyFont="1" applyBorder="1" applyAlignment="1">
      <alignment horizontal="center"/>
    </xf>
    <xf numFmtId="0" fontId="21" fillId="0" borderId="5" xfId="0" applyFont="1" applyBorder="1" applyAlignment="1">
      <alignment horizontal="left" vertical="center"/>
    </xf>
    <xf numFmtId="0" fontId="10" fillId="0" borderId="16" xfId="0" applyFont="1" applyBorder="1" applyAlignment="1">
      <alignment horizontal="left"/>
    </xf>
    <xf numFmtId="0" fontId="10" fillId="0" borderId="0" xfId="0" applyFont="1" applyBorder="1" applyAlignment="1">
      <alignment horizontal="left" wrapText="1" indent="2"/>
    </xf>
    <xf numFmtId="0" fontId="10" fillId="0" borderId="0" xfId="0" applyFont="1" applyBorder="1" applyAlignment="1">
      <alignment horizontal="left" wrapText="1"/>
    </xf>
    <xf numFmtId="183" fontId="8" fillId="0" borderId="0" xfId="1" applyNumberFormat="1" applyFont="1" applyBorder="1" applyAlignment="1">
      <alignment horizontal="left"/>
    </xf>
    <xf numFmtId="0" fontId="22" fillId="0" borderId="0" xfId="0" applyFont="1" applyBorder="1" applyAlignment="1">
      <alignment horizontal="center" vertical="center"/>
    </xf>
    <xf numFmtId="0" fontId="24" fillId="0" borderId="14" xfId="0" applyFont="1" applyBorder="1" applyAlignment="1">
      <alignment horizontal="right" wrapText="1"/>
    </xf>
    <xf numFmtId="166" fontId="0" fillId="0" borderId="0" xfId="1" applyNumberFormat="1" applyFont="1"/>
    <xf numFmtId="166" fontId="8" fillId="0" borderId="0" xfId="1" applyNumberFormat="1" applyFont="1" applyAlignment="1">
      <alignment vertical="center"/>
    </xf>
    <xf numFmtId="166" fontId="13" fillId="0" borderId="0" xfId="1" applyNumberFormat="1" applyFont="1" applyAlignment="1">
      <alignment vertical="center"/>
    </xf>
    <xf numFmtId="166" fontId="8" fillId="5" borderId="16" xfId="0" applyNumberFormat="1" applyFont="1" applyFill="1" applyBorder="1" applyAlignment="1">
      <alignment vertical="center"/>
    </xf>
    <xf numFmtId="0" fontId="10" fillId="0" borderId="5" xfId="0" applyFont="1" applyBorder="1" applyAlignment="1">
      <alignment horizontal="right"/>
    </xf>
    <xf numFmtId="9" fontId="25" fillId="0" borderId="1" xfId="0" applyNumberFormat="1" applyFont="1" applyBorder="1" applyAlignment="1">
      <alignment horizontal="center" vertical="top" wrapText="1"/>
    </xf>
    <xf numFmtId="164" fontId="25" fillId="0" borderId="1" xfId="0" applyNumberFormat="1" applyFont="1" applyBorder="1" applyAlignment="1">
      <alignment horizontal="center" vertical="top" wrapText="1"/>
    </xf>
    <xf numFmtId="0" fontId="10" fillId="0" borderId="0" xfId="0" applyFont="1" applyBorder="1" applyAlignment="1"/>
    <xf numFmtId="166" fontId="8" fillId="0" borderId="0" xfId="1" applyNumberFormat="1" applyFont="1" applyBorder="1" applyAlignment="1"/>
    <xf numFmtId="166" fontId="8" fillId="5" borderId="0" xfId="1" applyNumberFormat="1" applyFont="1" applyFill="1"/>
    <xf numFmtId="166" fontId="10" fillId="0" borderId="15" xfId="0" applyNumberFormat="1" applyFont="1" applyBorder="1" applyAlignment="1"/>
    <xf numFmtId="2" fontId="0" fillId="0" borderId="0" xfId="0" applyNumberFormat="1"/>
    <xf numFmtId="0" fontId="21" fillId="0" borderId="5" xfId="0" applyFont="1" applyBorder="1" applyAlignment="1">
      <alignment vertical="center"/>
    </xf>
    <xf numFmtId="0" fontId="10" fillId="0" borderId="5" xfId="0" applyFont="1" applyBorder="1" applyAlignment="1"/>
    <xf numFmtId="0" fontId="22" fillId="0" borderId="5" xfId="0" applyFont="1" applyBorder="1" applyAlignment="1">
      <alignment vertical="center"/>
    </xf>
    <xf numFmtId="0" fontId="0" fillId="0" borderId="0" xfId="0" applyBorder="1" applyAlignment="1">
      <alignment horizontal="center"/>
    </xf>
    <xf numFmtId="0" fontId="26" fillId="0" borderId="14" xfId="0" applyFont="1" applyBorder="1" applyAlignment="1">
      <alignment horizontal="left"/>
    </xf>
    <xf numFmtId="0" fontId="26" fillId="0" borderId="0" xfId="0" applyFont="1" applyBorder="1" applyAlignment="1">
      <alignment horizontal="left"/>
    </xf>
    <xf numFmtId="0" fontId="26" fillId="0" borderId="14" xfId="0" applyFont="1" applyBorder="1" applyAlignment="1"/>
    <xf numFmtId="0" fontId="26" fillId="0" borderId="0" xfId="0" applyFont="1" applyBorder="1" applyAlignment="1"/>
    <xf numFmtId="43" fontId="8" fillId="0" borderId="14" xfId="1" applyNumberFormat="1" applyFont="1" applyBorder="1" applyAlignment="1">
      <alignment horizontal="right"/>
    </xf>
    <xf numFmtId="43" fontId="8" fillId="0" borderId="0" xfId="1" applyNumberFormat="1" applyFont="1" applyBorder="1" applyAlignment="1"/>
    <xf numFmtId="0" fontId="18" fillId="0" borderId="10" xfId="0" applyFont="1" applyBorder="1" applyAlignment="1">
      <alignment horizontal="left" wrapText="1"/>
    </xf>
    <xf numFmtId="0" fontId="22" fillId="0" borderId="5" xfId="0" applyFont="1" applyBorder="1" applyAlignment="1">
      <alignment horizontal="center" wrapText="1"/>
    </xf>
    <xf numFmtId="0" fontId="23" fillId="0" borderId="0" xfId="0" applyFont="1" applyAlignment="1">
      <alignment horizontal="left" vertical="center" wrapText="1"/>
    </xf>
    <xf numFmtId="166" fontId="8" fillId="0" borderId="0" xfId="1" applyNumberFormat="1" applyFont="1" applyAlignment="1">
      <alignment horizontal="left" vertical="center" wrapText="1"/>
    </xf>
    <xf numFmtId="0" fontId="10" fillId="0" borderId="16" xfId="0" applyFont="1" applyBorder="1" applyAlignment="1">
      <alignment horizontal="center" vertical="center"/>
    </xf>
    <xf numFmtId="166" fontId="27" fillId="0" borderId="16" xfId="1" applyNumberFormat="1" applyFont="1" applyBorder="1" applyAlignment="1">
      <alignment vertical="center"/>
    </xf>
    <xf numFmtId="0" fontId="22" fillId="0" borderId="0" xfId="0" applyFont="1" applyAlignment="1">
      <alignment horizontal="left" vertical="center"/>
    </xf>
    <xf numFmtId="0" fontId="21" fillId="0" borderId="13" xfId="0" applyFont="1" applyBorder="1" applyAlignment="1">
      <alignment horizontal="left" wrapText="1"/>
    </xf>
    <xf numFmtId="0" fontId="10" fillId="0" borderId="14" xfId="0" applyFont="1" applyBorder="1" applyAlignment="1">
      <alignment horizontal="left" vertical="center" wrapText="1"/>
    </xf>
    <xf numFmtId="0" fontId="24" fillId="0" borderId="14" xfId="0" applyFont="1" applyBorder="1" applyAlignment="1">
      <alignment horizontal="center" vertical="center" wrapText="1"/>
    </xf>
    <xf numFmtId="0" fontId="22" fillId="0" borderId="15" xfId="0" applyFont="1" applyBorder="1" applyAlignment="1">
      <alignment horizontal="left" vertical="center"/>
    </xf>
    <xf numFmtId="166" fontId="8" fillId="0" borderId="15" xfId="1" applyNumberFormat="1" applyFont="1" applyBorder="1" applyAlignment="1">
      <alignment horizontal="left" vertical="center"/>
    </xf>
    <xf numFmtId="166" fontId="8" fillId="0" borderId="14" xfId="1" applyNumberFormat="1" applyFont="1" applyBorder="1" applyAlignment="1">
      <alignment horizontal="center" vertical="center" wrapText="1"/>
    </xf>
    <xf numFmtId="166" fontId="13" fillId="0" borderId="16" xfId="1" applyNumberFormat="1" applyFont="1" applyBorder="1" applyAlignment="1">
      <alignment horizontal="left" vertical="center"/>
    </xf>
    <xf numFmtId="166" fontId="13" fillId="5" borderId="16" xfId="0" applyNumberFormat="1" applyFont="1" applyFill="1" applyBorder="1"/>
    <xf numFmtId="166" fontId="13" fillId="5" borderId="16" xfId="1" applyNumberFormat="1" applyFont="1" applyFill="1" applyBorder="1"/>
    <xf numFmtId="0" fontId="32" fillId="0" borderId="18" xfId="0" applyFont="1" applyBorder="1" applyAlignment="1">
      <alignment horizontal="center"/>
    </xf>
    <xf numFmtId="0" fontId="32" fillId="0" borderId="19" xfId="0" applyFont="1" applyBorder="1" applyAlignment="1">
      <alignment horizontal="center"/>
    </xf>
    <xf numFmtId="0" fontId="32" fillId="0" borderId="20" xfId="0" applyFont="1" applyBorder="1" applyAlignment="1">
      <alignment horizontal="center"/>
    </xf>
    <xf numFmtId="166" fontId="34" fillId="4" borderId="23" xfId="1" applyNumberFormat="1" applyFont="1" applyFill="1" applyBorder="1" applyAlignment="1">
      <alignment horizontal="center" vertical="center"/>
    </xf>
    <xf numFmtId="166" fontId="34" fillId="4" borderId="24" xfId="1" applyNumberFormat="1" applyFont="1" applyFill="1" applyBorder="1" applyAlignment="1">
      <alignment horizontal="center" vertical="center"/>
    </xf>
    <xf numFmtId="166" fontId="34" fillId="4" borderId="25" xfId="1" applyNumberFormat="1" applyFont="1" applyFill="1" applyBorder="1" applyAlignment="1">
      <alignment horizontal="center" vertical="center"/>
    </xf>
    <xf numFmtId="10" fontId="30" fillId="4" borderId="21" xfId="2" applyNumberFormat="1" applyFont="1" applyFill="1" applyBorder="1" applyAlignment="1">
      <alignment horizontal="right" vertical="center"/>
    </xf>
    <xf numFmtId="10" fontId="30" fillId="4" borderId="0" xfId="2" applyNumberFormat="1" applyFont="1" applyFill="1" applyBorder="1" applyAlignment="1">
      <alignment horizontal="right" vertical="center"/>
    </xf>
    <xf numFmtId="10" fontId="30" fillId="4" borderId="22" xfId="2" applyNumberFormat="1" applyFont="1" applyFill="1" applyBorder="1" applyAlignment="1">
      <alignment horizontal="right" vertical="center"/>
    </xf>
    <xf numFmtId="10" fontId="35" fillId="4" borderId="21" xfId="2" applyNumberFormat="1" applyFont="1" applyFill="1" applyBorder="1" applyAlignment="1">
      <alignment horizontal="right" vertical="center"/>
    </xf>
    <xf numFmtId="0" fontId="32" fillId="0" borderId="18" xfId="0" applyFont="1" applyBorder="1" applyAlignment="1">
      <alignment horizontal="center" vertical="center"/>
    </xf>
    <xf numFmtId="0" fontId="32" fillId="0" borderId="19" xfId="0" applyFont="1" applyBorder="1" applyAlignment="1">
      <alignment horizontal="center" vertical="center"/>
    </xf>
    <xf numFmtId="0" fontId="32" fillId="0" borderId="20" xfId="0" applyFont="1" applyBorder="1" applyAlignment="1">
      <alignment horizontal="center" vertical="center"/>
    </xf>
    <xf numFmtId="0" fontId="32" fillId="0" borderId="21" xfId="0" applyFont="1" applyBorder="1" applyAlignment="1">
      <alignment horizontal="center" vertical="center"/>
    </xf>
    <xf numFmtId="0" fontId="32" fillId="0" borderId="0" xfId="0" applyFont="1" applyBorder="1" applyAlignment="1">
      <alignment horizontal="center" vertical="center"/>
    </xf>
    <xf numFmtId="166" fontId="37" fillId="4" borderId="21" xfId="1" applyNumberFormat="1" applyFont="1" applyFill="1" applyBorder="1" applyAlignment="1">
      <alignment horizontal="center" vertical="center"/>
    </xf>
    <xf numFmtId="166" fontId="37" fillId="4" borderId="0" xfId="1" applyNumberFormat="1" applyFont="1" applyFill="1" applyBorder="1" applyAlignment="1">
      <alignment horizontal="center" vertical="center"/>
    </xf>
    <xf numFmtId="166" fontId="37" fillId="4" borderId="22" xfId="1" applyNumberFormat="1" applyFont="1" applyFill="1" applyBorder="1" applyAlignment="1">
      <alignment horizontal="center" vertical="center"/>
    </xf>
    <xf numFmtId="43" fontId="37" fillId="4" borderId="21" xfId="1" applyNumberFormat="1" applyFont="1" applyFill="1" applyBorder="1" applyAlignment="1">
      <alignment horizontal="center" vertical="center"/>
    </xf>
    <xf numFmtId="43" fontId="37" fillId="4" borderId="0" xfId="1" applyNumberFormat="1" applyFont="1" applyFill="1" applyBorder="1" applyAlignment="1">
      <alignment horizontal="center" vertical="center"/>
    </xf>
    <xf numFmtId="43" fontId="37" fillId="4" borderId="22" xfId="1" applyNumberFormat="1" applyFont="1" applyFill="1" applyBorder="1" applyAlignment="1">
      <alignment horizontal="center" vertical="center"/>
    </xf>
    <xf numFmtId="9" fontId="37" fillId="4" borderId="21" xfId="2" applyFont="1" applyFill="1" applyBorder="1" applyAlignment="1">
      <alignment horizontal="right" vertical="center"/>
    </xf>
    <xf numFmtId="9" fontId="37" fillId="4" borderId="0" xfId="2" applyFont="1" applyFill="1" applyBorder="1" applyAlignment="1">
      <alignment horizontal="right" vertical="center"/>
    </xf>
    <xf numFmtId="9" fontId="37" fillId="4" borderId="22" xfId="2" applyFont="1" applyFill="1" applyBorder="1" applyAlignment="1">
      <alignment horizontal="right" vertical="center"/>
    </xf>
    <xf numFmtId="10" fontId="37" fillId="4" borderId="21" xfId="2" applyNumberFormat="1" applyFont="1" applyFill="1" applyBorder="1" applyAlignment="1">
      <alignment horizontal="right" vertical="center"/>
    </xf>
    <xf numFmtId="10" fontId="37" fillId="4" borderId="0" xfId="2" applyNumberFormat="1" applyFont="1" applyFill="1" applyBorder="1" applyAlignment="1">
      <alignment horizontal="right" vertical="center"/>
    </xf>
    <xf numFmtId="10" fontId="37" fillId="4" borderId="22" xfId="2" applyNumberFormat="1" applyFont="1" applyFill="1" applyBorder="1" applyAlignment="1">
      <alignment horizontal="right" vertical="center"/>
    </xf>
    <xf numFmtId="0" fontId="28" fillId="0" borderId="0" xfId="0" applyFont="1" applyBorder="1" applyAlignment="1">
      <alignment horizontal="left" vertical="center"/>
    </xf>
    <xf numFmtId="166" fontId="8" fillId="0" borderId="0" xfId="1" applyNumberFormat="1" applyFont="1" applyBorder="1" applyAlignment="1">
      <alignment horizontal="center" vertical="center"/>
    </xf>
    <xf numFmtId="0" fontId="28" fillId="0" borderId="24" xfId="0" applyFont="1" applyBorder="1" applyAlignment="1">
      <alignment horizontal="left" vertical="center"/>
    </xf>
    <xf numFmtId="166" fontId="8" fillId="0" borderId="24" xfId="1" applyNumberFormat="1" applyFont="1" applyBorder="1" applyAlignment="1">
      <alignment horizontal="center" vertical="center"/>
    </xf>
    <xf numFmtId="43" fontId="8" fillId="0" borderId="0" xfId="1" applyNumberFormat="1" applyFont="1" applyBorder="1" applyAlignment="1">
      <alignment horizontal="center" vertical="center"/>
    </xf>
    <xf numFmtId="0" fontId="28" fillId="0" borderId="21" xfId="0" applyFont="1" applyBorder="1" applyAlignment="1">
      <alignment horizontal="left" vertical="center"/>
    </xf>
    <xf numFmtId="166" fontId="8" fillId="0" borderId="22" xfId="1" applyNumberFormat="1" applyFont="1" applyBorder="1" applyAlignment="1">
      <alignment horizontal="center" vertical="center"/>
    </xf>
    <xf numFmtId="43" fontId="8" fillId="0" borderId="22" xfId="1" applyNumberFormat="1" applyFont="1" applyBorder="1" applyAlignment="1">
      <alignment horizontal="center" vertical="center"/>
    </xf>
    <xf numFmtId="0" fontId="28" fillId="0" borderId="23" xfId="0" applyFont="1" applyBorder="1" applyAlignment="1">
      <alignment horizontal="left" vertical="center"/>
    </xf>
    <xf numFmtId="0" fontId="28" fillId="0" borderId="26" xfId="0" applyFont="1" applyBorder="1" applyAlignment="1">
      <alignment horizontal="left" vertical="center"/>
    </xf>
    <xf numFmtId="0" fontId="28" fillId="0" borderId="27" xfId="0" applyFont="1" applyBorder="1" applyAlignment="1">
      <alignment horizontal="left" vertical="center"/>
    </xf>
    <xf numFmtId="166" fontId="8" fillId="0" borderId="27" xfId="1" applyNumberFormat="1" applyFont="1" applyBorder="1" applyAlignment="1">
      <alignment horizontal="center" vertical="center"/>
    </xf>
    <xf numFmtId="166" fontId="8" fillId="0" borderId="28" xfId="1" applyNumberFormat="1" applyFont="1" applyBorder="1" applyAlignment="1">
      <alignment horizontal="center" vertical="center"/>
    </xf>
    <xf numFmtId="0" fontId="32" fillId="0" borderId="26" xfId="0" applyFont="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28" fillId="0" borderId="29" xfId="0" applyFont="1" applyBorder="1" applyAlignment="1">
      <alignment horizontal="left" vertical="center"/>
    </xf>
    <xf numFmtId="0" fontId="28" fillId="0" borderId="30" xfId="0" applyFont="1" applyBorder="1" applyAlignment="1">
      <alignment horizontal="left" vertical="center"/>
    </xf>
    <xf numFmtId="166" fontId="8" fillId="0" borderId="30" xfId="1" applyNumberFormat="1" applyFont="1" applyBorder="1" applyAlignment="1">
      <alignment horizontal="center" vertical="center"/>
    </xf>
    <xf numFmtId="166" fontId="8" fillId="0" borderId="31" xfId="1" applyNumberFormat="1" applyFont="1" applyBorder="1" applyAlignment="1">
      <alignment horizontal="center" vertical="center"/>
    </xf>
    <xf numFmtId="43" fontId="8" fillId="0" borderId="27" xfId="1" applyNumberFormat="1" applyFont="1" applyBorder="1" applyAlignment="1">
      <alignment horizontal="center" vertical="center"/>
    </xf>
    <xf numFmtId="43" fontId="8" fillId="0" borderId="28" xfId="1" applyNumberFormat="1" applyFont="1" applyBorder="1" applyAlignment="1">
      <alignment horizontal="center" vertical="center"/>
    </xf>
    <xf numFmtId="0" fontId="38" fillId="7" borderId="21" xfId="0" applyFont="1" applyFill="1" applyBorder="1" applyAlignment="1">
      <alignment horizontal="left" vertical="center"/>
    </xf>
    <xf numFmtId="0" fontId="38" fillId="7" borderId="0" xfId="0" applyFont="1" applyFill="1" applyBorder="1" applyAlignment="1">
      <alignment horizontal="left" vertical="center"/>
    </xf>
    <xf numFmtId="43" fontId="13" fillId="7" borderId="0" xfId="1" applyNumberFormat="1" applyFont="1" applyFill="1" applyBorder="1" applyAlignment="1">
      <alignment horizontal="center" vertical="center"/>
    </xf>
    <xf numFmtId="43" fontId="13" fillId="7" borderId="22" xfId="1" applyNumberFormat="1" applyFont="1" applyFill="1" applyBorder="1" applyAlignment="1">
      <alignment horizontal="center" vertical="center"/>
    </xf>
    <xf numFmtId="0" fontId="38" fillId="7" borderId="26" xfId="0" applyFont="1" applyFill="1" applyBorder="1" applyAlignment="1">
      <alignment horizontal="left" vertical="center"/>
    </xf>
    <xf numFmtId="0" fontId="38" fillId="7" borderId="27" xfId="0" applyFont="1" applyFill="1" applyBorder="1" applyAlignment="1">
      <alignment horizontal="left" vertical="center"/>
    </xf>
    <xf numFmtId="43" fontId="13" fillId="7" borderId="27" xfId="1" applyNumberFormat="1" applyFont="1" applyFill="1" applyBorder="1" applyAlignment="1">
      <alignment horizontal="center" vertical="center"/>
    </xf>
    <xf numFmtId="43" fontId="13" fillId="7" borderId="28" xfId="1" applyNumberFormat="1" applyFont="1" applyFill="1" applyBorder="1" applyAlignment="1">
      <alignment horizontal="center" vertical="center"/>
    </xf>
    <xf numFmtId="43" fontId="39" fillId="0" borderId="0" xfId="1" applyNumberFormat="1" applyFont="1" applyBorder="1" applyAlignment="1">
      <alignment horizontal="center" vertical="center"/>
    </xf>
    <xf numFmtId="43" fontId="39" fillId="0" borderId="22" xfId="1" applyNumberFormat="1" applyFont="1" applyBorder="1" applyAlignment="1">
      <alignment horizontal="center" vertical="center"/>
    </xf>
    <xf numFmtId="43" fontId="39" fillId="0" borderId="24" xfId="1" applyNumberFormat="1" applyFont="1" applyBorder="1" applyAlignment="1">
      <alignment horizontal="center" vertical="center"/>
    </xf>
    <xf numFmtId="43" fontId="39" fillId="0" borderId="25" xfId="1" applyNumberFormat="1" applyFont="1" applyBorder="1" applyAlignment="1">
      <alignment horizontal="center" vertical="center"/>
    </xf>
    <xf numFmtId="9" fontId="0" fillId="0" borderId="0" xfId="2" applyFont="1"/>
    <xf numFmtId="10" fontId="0" fillId="0" borderId="0" xfId="2" applyNumberFormat="1" applyFont="1"/>
    <xf numFmtId="0" fontId="6"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31" fillId="0" borderId="0" xfId="0" applyFont="1" applyAlignment="1">
      <alignment horizontal="left"/>
    </xf>
    <xf numFmtId="0" fontId="0" fillId="0" borderId="21" xfId="0" applyBorder="1"/>
    <xf numFmtId="0" fontId="0" fillId="0" borderId="22" xfId="0" applyBorder="1"/>
    <xf numFmtId="0" fontId="31" fillId="0" borderId="21" xfId="0" applyFont="1" applyBorder="1" applyAlignment="1">
      <alignment horizontal="left"/>
    </xf>
    <xf numFmtId="0" fontId="31" fillId="0" borderId="0" xfId="0" applyFont="1" applyBorder="1" applyAlignment="1">
      <alignment horizontal="left"/>
    </xf>
    <xf numFmtId="0" fontId="31" fillId="0" borderId="22" xfId="0" applyFont="1" applyBorder="1" applyAlignment="1">
      <alignment horizontal="left"/>
    </xf>
    <xf numFmtId="164" fontId="32" fillId="0" borderId="36" xfId="0" applyNumberFormat="1" applyFont="1" applyBorder="1" applyAlignment="1">
      <alignment horizontal="center" vertical="top"/>
    </xf>
    <xf numFmtId="164" fontId="32" fillId="0" borderId="32" xfId="0" applyNumberFormat="1" applyFont="1" applyBorder="1" applyAlignment="1">
      <alignment horizontal="center" vertical="top"/>
    </xf>
    <xf numFmtId="164" fontId="32" fillId="0" borderId="33" xfId="0" applyNumberFormat="1" applyFont="1" applyBorder="1" applyAlignment="1">
      <alignment horizontal="center" vertical="top"/>
    </xf>
    <xf numFmtId="0" fontId="6" fillId="2" borderId="18" xfId="0" applyFont="1" applyFill="1" applyBorder="1" applyAlignment="1">
      <alignment horizontal="center"/>
    </xf>
    <xf numFmtId="0" fontId="6" fillId="2" borderId="19"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32" fillId="0" borderId="21" xfId="0" applyFont="1" applyBorder="1" applyAlignment="1">
      <alignment horizontal="left" vertical="center"/>
    </xf>
    <xf numFmtId="0" fontId="32" fillId="0" borderId="0" xfId="0" applyFont="1" applyBorder="1" applyAlignment="1">
      <alignment horizontal="left" vertical="center"/>
    </xf>
    <xf numFmtId="166" fontId="8" fillId="0" borderId="22" xfId="1" applyNumberFormat="1" applyFont="1" applyBorder="1" applyAlignment="1">
      <alignment horizontal="center"/>
    </xf>
    <xf numFmtId="0" fontId="0" fillId="0" borderId="21" xfId="0" applyBorder="1" applyAlignment="1">
      <alignment horizontal="left" vertical="center"/>
    </xf>
    <xf numFmtId="0" fontId="0" fillId="0" borderId="0" xfId="0" applyBorder="1" applyAlignment="1">
      <alignment horizontal="left" vertical="center"/>
    </xf>
    <xf numFmtId="0" fontId="2" fillId="7" borderId="23" xfId="0" applyFont="1" applyFill="1" applyBorder="1" applyAlignment="1">
      <alignment horizontal="left" vertical="center"/>
    </xf>
    <xf numFmtId="0" fontId="2" fillId="7" borderId="24" xfId="0" applyFont="1" applyFill="1" applyBorder="1" applyAlignment="1">
      <alignment horizontal="left" vertical="center"/>
    </xf>
    <xf numFmtId="166" fontId="8" fillId="7" borderId="24" xfId="1" applyNumberFormat="1" applyFont="1" applyFill="1" applyBorder="1" applyAlignment="1">
      <alignment horizontal="center"/>
    </xf>
    <xf numFmtId="166" fontId="8" fillId="7" borderId="25" xfId="1" applyNumberFormat="1" applyFont="1" applyFill="1" applyBorder="1" applyAlignment="1">
      <alignment horizontal="center"/>
    </xf>
    <xf numFmtId="0" fontId="31" fillId="0" borderId="0" xfId="0" applyFont="1" applyBorder="1" applyAlignment="1">
      <alignment horizontal="left"/>
    </xf>
    <xf numFmtId="0" fontId="0" fillId="0" borderId="20" xfId="0" applyBorder="1"/>
    <xf numFmtId="0" fontId="36" fillId="0" borderId="0" xfId="0" applyFont="1" applyBorder="1" applyAlignment="1">
      <alignment horizontal="left" vertical="center"/>
    </xf>
    <xf numFmtId="0" fontId="36" fillId="0" borderId="22" xfId="0" applyFont="1" applyBorder="1" applyAlignment="1">
      <alignment horizontal="left" vertical="center"/>
    </xf>
    <xf numFmtId="0" fontId="28" fillId="0" borderId="0" xfId="0" applyFont="1" applyBorder="1"/>
    <xf numFmtId="0" fontId="0" fillId="0" borderId="23" xfId="0" applyBorder="1"/>
    <xf numFmtId="0" fontId="0" fillId="0" borderId="24" xfId="0" applyBorder="1"/>
    <xf numFmtId="0" fontId="0" fillId="0" borderId="25" xfId="0" applyBorder="1"/>
    <xf numFmtId="0" fontId="43" fillId="0" borderId="0" xfId="0" applyFont="1" applyAlignment="1">
      <alignment horizontal="center"/>
    </xf>
    <xf numFmtId="0" fontId="32" fillId="0" borderId="18" xfId="0" applyFont="1" applyBorder="1" applyAlignment="1">
      <alignment horizontal="left"/>
    </xf>
    <xf numFmtId="0" fontId="32" fillId="0" borderId="19" xfId="0" applyFont="1" applyBorder="1" applyAlignment="1">
      <alignment horizontal="left"/>
    </xf>
    <xf numFmtId="0" fontId="0" fillId="0" borderId="19" xfId="0" applyBorder="1"/>
    <xf numFmtId="0" fontId="6" fillId="2" borderId="0" xfId="0" applyFont="1" applyFill="1" applyBorder="1" applyAlignment="1">
      <alignment horizontal="center" vertical="center"/>
    </xf>
    <xf numFmtId="0" fontId="32" fillId="4" borderId="0" xfId="0" applyFont="1" applyFill="1" applyBorder="1" applyAlignment="1">
      <alignment horizontal="left"/>
    </xf>
    <xf numFmtId="0" fontId="0" fillId="0" borderId="6" xfId="0" applyBorder="1" applyAlignment="1">
      <alignment horizontal="center"/>
    </xf>
    <xf numFmtId="0" fontId="0" fillId="0" borderId="2" xfId="0" applyBorder="1" applyAlignment="1">
      <alignment horizontal="center"/>
    </xf>
    <xf numFmtId="164" fontId="40" fillId="0" borderId="37" xfId="0" applyNumberFormat="1" applyFont="1" applyBorder="1" applyAlignment="1">
      <alignment horizontal="center" vertical="center" wrapText="1"/>
    </xf>
    <xf numFmtId="164" fontId="40" fillId="0" borderId="38" xfId="0" applyNumberFormat="1" applyFont="1" applyBorder="1" applyAlignment="1">
      <alignment horizontal="center" vertical="center" wrapText="1"/>
    </xf>
    <xf numFmtId="164" fontId="40" fillId="0" borderId="39" xfId="0" applyNumberFormat="1" applyFont="1" applyBorder="1" applyAlignment="1">
      <alignment horizontal="center" vertical="top" wrapText="1"/>
    </xf>
    <xf numFmtId="9" fontId="40" fillId="0" borderId="39" xfId="0" applyNumberFormat="1" applyFont="1" applyBorder="1" applyAlignment="1">
      <alignment horizontal="center" vertical="top" wrapText="1"/>
    </xf>
    <xf numFmtId="164" fontId="40" fillId="0" borderId="40" xfId="0" applyNumberFormat="1" applyFont="1" applyBorder="1" applyAlignment="1">
      <alignment horizontal="center" vertical="top" wrapText="1"/>
    </xf>
    <xf numFmtId="164" fontId="40" fillId="0" borderId="23" xfId="0" applyNumberFormat="1" applyFont="1" applyBorder="1" applyAlignment="1">
      <alignment horizontal="center" vertical="center" wrapText="1"/>
    </xf>
    <xf numFmtId="166" fontId="8" fillId="0" borderId="25" xfId="1" applyNumberFormat="1" applyFont="1" applyBorder="1" applyAlignment="1">
      <alignment horizontal="center" vertical="center"/>
    </xf>
    <xf numFmtId="166" fontId="13" fillId="0" borderId="0" xfId="1" applyNumberFormat="1" applyFont="1" applyBorder="1" applyAlignment="1">
      <alignment horizontal="center" vertical="center"/>
    </xf>
    <xf numFmtId="190" fontId="31" fillId="0" borderId="0" xfId="0" applyNumberFormat="1" applyFont="1" applyBorder="1" applyAlignment="1">
      <alignment horizontal="left"/>
    </xf>
    <xf numFmtId="164" fontId="40" fillId="0" borderId="0" xfId="0" applyNumberFormat="1" applyFont="1" applyBorder="1" applyAlignment="1">
      <alignment horizontal="center" vertical="center" wrapText="1"/>
    </xf>
    <xf numFmtId="166" fontId="8" fillId="0" borderId="0" xfId="1" applyNumberFormat="1" applyFont="1" applyBorder="1" applyAlignment="1">
      <alignment horizontal="center" vertical="center"/>
    </xf>
    <xf numFmtId="0" fontId="6" fillId="2" borderId="21" xfId="0" applyFont="1" applyFill="1" applyBorder="1" applyAlignment="1">
      <alignment horizontal="center" vertical="center"/>
    </xf>
    <xf numFmtId="0" fontId="6" fillId="2" borderId="22" xfId="0" applyFont="1" applyFill="1" applyBorder="1" applyAlignment="1">
      <alignment horizontal="center" vertical="center"/>
    </xf>
    <xf numFmtId="0" fontId="32" fillId="4" borderId="21" xfId="0" applyFont="1" applyFill="1" applyBorder="1" applyAlignment="1">
      <alignment horizontal="left"/>
    </xf>
    <xf numFmtId="0" fontId="32" fillId="4" borderId="22" xfId="0" applyFont="1" applyFill="1" applyBorder="1" applyAlignment="1">
      <alignment horizontal="left"/>
    </xf>
    <xf numFmtId="0" fontId="31" fillId="0" borderId="21" xfId="0" applyFont="1" applyBorder="1" applyAlignment="1">
      <alignment horizontal="left"/>
    </xf>
    <xf numFmtId="0" fontId="31" fillId="0" borderId="22" xfId="0" applyFont="1" applyBorder="1" applyAlignment="1">
      <alignment horizontal="left"/>
    </xf>
    <xf numFmtId="190" fontId="31" fillId="0" borderId="23" xfId="0" applyNumberFormat="1" applyFont="1" applyBorder="1" applyAlignment="1">
      <alignment horizontal="left"/>
    </xf>
    <xf numFmtId="190" fontId="31" fillId="0" borderId="24" xfId="0" applyNumberFormat="1" applyFont="1" applyBorder="1" applyAlignment="1">
      <alignment horizontal="left"/>
    </xf>
    <xf numFmtId="190" fontId="31" fillId="0" borderId="25" xfId="0" applyNumberFormat="1" applyFont="1" applyBorder="1" applyAlignment="1">
      <alignment horizontal="left"/>
    </xf>
    <xf numFmtId="0" fontId="6" fillId="2" borderId="18" xfId="3" applyFont="1" applyFill="1" applyBorder="1"/>
    <xf numFmtId="0" fontId="6" fillId="2" borderId="19" xfId="3" applyFont="1" applyFill="1" applyBorder="1"/>
    <xf numFmtId="0" fontId="6" fillId="2" borderId="20" xfId="3" applyFont="1" applyFill="1" applyBorder="1"/>
    <xf numFmtId="0" fontId="32" fillId="0" borderId="21" xfId="3" applyFont="1" applyFill="1" applyBorder="1"/>
    <xf numFmtId="0" fontId="32" fillId="0" borderId="0" xfId="3" applyFont="1" applyFill="1" applyBorder="1"/>
    <xf numFmtId="0" fontId="32" fillId="0" borderId="22" xfId="3" applyFont="1" applyFill="1" applyBorder="1"/>
    <xf numFmtId="0" fontId="32" fillId="0" borderId="23" xfId="3" applyFont="1" applyFill="1" applyBorder="1"/>
    <xf numFmtId="0" fontId="32" fillId="0" borderId="24" xfId="3" applyFont="1" applyFill="1" applyBorder="1"/>
    <xf numFmtId="0" fontId="32" fillId="0" borderId="25" xfId="3" applyFont="1" applyFill="1" applyBorder="1"/>
    <xf numFmtId="0" fontId="44" fillId="0" borderId="0" xfId="0" applyFont="1" applyAlignment="1">
      <alignment horizontal="left" vertical="center"/>
    </xf>
    <xf numFmtId="0" fontId="0" fillId="0" borderId="41" xfId="0" applyBorder="1" applyAlignment="1">
      <alignment horizontal="center"/>
    </xf>
    <xf numFmtId="0" fontId="0" fillId="0" borderId="0" xfId="0" applyBorder="1" applyAlignment="1">
      <alignment horizontal="center" vertical="center" wrapText="1"/>
    </xf>
    <xf numFmtId="0" fontId="0" fillId="0" borderId="41" xfId="0" applyBorder="1" applyAlignment="1">
      <alignment horizontal="center" vertical="center" wrapText="1"/>
    </xf>
    <xf numFmtId="0" fontId="45" fillId="0" borderId="0" xfId="0" applyFont="1" applyBorder="1" applyAlignment="1">
      <alignment horizontal="center" vertical="center"/>
    </xf>
    <xf numFmtId="0" fontId="45" fillId="0" borderId="41" xfId="0" applyFont="1" applyBorder="1" applyAlignment="1">
      <alignment horizontal="center" vertical="center"/>
    </xf>
    <xf numFmtId="0" fontId="32" fillId="0" borderId="41" xfId="0" applyFont="1" applyBorder="1" applyAlignment="1">
      <alignment horizontal="center" vertical="center"/>
    </xf>
    <xf numFmtId="0" fontId="46" fillId="0" borderId="0" xfId="0" applyFont="1" applyBorder="1" applyAlignment="1">
      <alignment horizontal="center" vertical="center"/>
    </xf>
    <xf numFmtId="0" fontId="46" fillId="0" borderId="41" xfId="0" applyFont="1" applyBorder="1" applyAlignment="1">
      <alignment horizontal="center" vertical="center"/>
    </xf>
    <xf numFmtId="0" fontId="47" fillId="0" borderId="0" xfId="0" applyFont="1" applyBorder="1" applyAlignment="1">
      <alignment horizontal="center" vertical="center"/>
    </xf>
    <xf numFmtId="0" fontId="47" fillId="0" borderId="41" xfId="0" applyFont="1" applyBorder="1" applyAlignment="1">
      <alignment horizontal="center" vertical="center"/>
    </xf>
    <xf numFmtId="0" fontId="48" fillId="2" borderId="0" xfId="0" applyFont="1" applyFill="1" applyAlignment="1">
      <alignment horizontal="center" vertical="center"/>
    </xf>
    <xf numFmtId="0" fontId="32" fillId="0" borderId="6" xfId="0" applyFont="1" applyBorder="1" applyAlignment="1">
      <alignment horizontal="center" vertical="center"/>
    </xf>
    <xf numFmtId="0" fontId="32" fillId="0" borderId="42" xfId="0" applyFont="1" applyBorder="1" applyAlignment="1">
      <alignment horizontal="center" vertical="center"/>
    </xf>
    <xf numFmtId="0" fontId="32" fillId="0" borderId="7" xfId="0" applyFont="1" applyBorder="1" applyAlignment="1">
      <alignment horizontal="center" vertical="center"/>
    </xf>
    <xf numFmtId="0" fontId="32" fillId="0" borderId="8" xfId="0" applyFont="1" applyBorder="1" applyAlignment="1">
      <alignment horizontal="center" vertical="center"/>
    </xf>
    <xf numFmtId="0" fontId="32" fillId="0" borderId="4" xfId="0" applyFont="1" applyBorder="1" applyAlignment="1">
      <alignment horizontal="center" vertical="center"/>
    </xf>
    <xf numFmtId="0" fontId="32" fillId="0" borderId="9" xfId="0" applyFont="1" applyBorder="1" applyAlignment="1">
      <alignment horizontal="center" vertical="center"/>
    </xf>
    <xf numFmtId="0" fontId="0" fillId="0" borderId="42" xfId="0" applyBorder="1" applyAlignment="1">
      <alignment horizontal="center"/>
    </xf>
    <xf numFmtId="0" fontId="32" fillId="0" borderId="42" xfId="0" applyFont="1" applyBorder="1" applyAlignment="1">
      <alignment horizontal="left" vertical="center"/>
    </xf>
    <xf numFmtId="0" fontId="0" fillId="0" borderId="42" xfId="0" applyFont="1" applyBorder="1" applyAlignment="1">
      <alignment horizontal="left" vertical="center"/>
    </xf>
    <xf numFmtId="0" fontId="0" fillId="0" borderId="0" xfId="0" applyFont="1" applyBorder="1" applyAlignment="1">
      <alignment horizontal="left" vertical="center"/>
    </xf>
    <xf numFmtId="0" fontId="32" fillId="0" borderId="7" xfId="0" applyFont="1" applyBorder="1" applyAlignment="1">
      <alignment horizontal="left" vertical="center"/>
    </xf>
    <xf numFmtId="0" fontId="32" fillId="0" borderId="3" xfId="0" applyFont="1" applyBorder="1" applyAlignment="1">
      <alignment horizontal="left" vertical="center"/>
    </xf>
    <xf numFmtId="0" fontId="0" fillId="0" borderId="8" xfId="0" applyBorder="1" applyAlignment="1">
      <alignment horizontal="center"/>
    </xf>
    <xf numFmtId="0" fontId="32" fillId="0" borderId="4" xfId="0" applyFont="1" applyBorder="1" applyAlignment="1">
      <alignment horizontal="left" vertical="center"/>
    </xf>
    <xf numFmtId="0" fontId="32" fillId="0" borderId="9" xfId="0" applyFont="1" applyBorder="1" applyAlignment="1">
      <alignment horizontal="left" vertical="center"/>
    </xf>
    <xf numFmtId="0" fontId="0" fillId="0" borderId="6" xfId="0" applyFont="1" applyBorder="1" applyAlignment="1">
      <alignment horizontal="left" vertical="center"/>
    </xf>
    <xf numFmtId="0" fontId="0" fillId="0" borderId="7" xfId="0" applyFont="1" applyBorder="1" applyAlignment="1">
      <alignment horizontal="left" vertical="center"/>
    </xf>
    <xf numFmtId="0" fontId="0" fillId="0" borderId="2" xfId="0" applyFont="1" applyBorder="1" applyAlignment="1">
      <alignment horizontal="left" vertical="center"/>
    </xf>
    <xf numFmtId="0" fontId="0" fillId="0" borderId="3" xfId="0" applyFont="1" applyBorder="1" applyAlignment="1">
      <alignment horizontal="left" vertical="center"/>
    </xf>
    <xf numFmtId="0" fontId="0" fillId="0" borderId="8" xfId="0" applyFont="1" applyBorder="1" applyAlignment="1">
      <alignment horizontal="left" vertical="center"/>
    </xf>
    <xf numFmtId="0" fontId="0" fillId="0" borderId="4" xfId="0" applyFont="1" applyBorder="1" applyAlignment="1">
      <alignment horizontal="left" vertical="center"/>
    </xf>
    <xf numFmtId="0" fontId="0" fillId="0" borderId="9" xfId="0" applyFont="1" applyBorder="1" applyAlignment="1">
      <alignment horizontal="left" vertical="center"/>
    </xf>
    <xf numFmtId="0" fontId="0" fillId="0" borderId="7"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9" xfId="0" applyBorder="1" applyAlignment="1">
      <alignment horizontal="center"/>
    </xf>
    <xf numFmtId="0" fontId="49" fillId="2" borderId="0" xfId="0" applyFont="1" applyFill="1" applyAlignment="1">
      <alignment horizontal="center" vertical="center"/>
    </xf>
    <xf numFmtId="0" fontId="0" fillId="0" borderId="34" xfId="0" applyBorder="1" applyAlignment="1">
      <alignment horizontal="left" vertical="center" wrapText="1"/>
    </xf>
    <xf numFmtId="0" fontId="0" fillId="0" borderId="17" xfId="0" applyBorder="1" applyAlignment="1">
      <alignment horizontal="left" vertical="center" wrapText="1"/>
    </xf>
    <xf numFmtId="0" fontId="0" fillId="0" borderId="35" xfId="0" applyBorder="1" applyAlignment="1">
      <alignment horizontal="left" vertical="center" wrapText="1"/>
    </xf>
    <xf numFmtId="0" fontId="8" fillId="6" borderId="12" xfId="0" applyFont="1" applyFill="1" applyBorder="1" applyAlignment="1">
      <alignment horizontal="center" vertical="center" wrapText="1"/>
    </xf>
    <xf numFmtId="166" fontId="8" fillId="6" borderId="10" xfId="1" applyNumberFormat="1" applyFont="1" applyFill="1" applyBorder="1" applyAlignment="1">
      <alignment horizontal="center" vertical="center" wrapText="1"/>
    </xf>
    <xf numFmtId="10" fontId="14" fillId="6" borderId="10" xfId="2" applyNumberFormat="1" applyFont="1" applyFill="1" applyBorder="1" applyAlignment="1">
      <alignment horizontal="right" vertical="center" wrapText="1"/>
    </xf>
    <xf numFmtId="166" fontId="8" fillId="0" borderId="0" xfId="1" applyNumberFormat="1" applyFont="1" applyBorder="1" applyAlignment="1">
      <alignment vertical="center" wrapText="1"/>
    </xf>
    <xf numFmtId="10" fontId="13" fillId="0" borderId="0" xfId="2" applyNumberFormat="1" applyFont="1" applyBorder="1" applyAlignment="1">
      <alignment horizontal="right" vertical="center" wrapText="1"/>
    </xf>
    <xf numFmtId="10" fontId="13" fillId="0" borderId="0" xfId="2" applyNumberFormat="1" applyFont="1" applyBorder="1" applyAlignment="1">
      <alignment vertical="center" wrapText="1"/>
    </xf>
    <xf numFmtId="0" fontId="10" fillId="0" borderId="0" xfId="0" applyFont="1" applyBorder="1" applyAlignment="1">
      <alignment horizontal="left" wrapText="1" indent="2"/>
    </xf>
    <xf numFmtId="166" fontId="8" fillId="0" borderId="0" xfId="1" applyNumberFormat="1" applyFont="1" applyFill="1" applyBorder="1" applyAlignment="1">
      <alignment horizontal="center" vertical="center" wrapText="1"/>
    </xf>
    <xf numFmtId="0" fontId="10" fillId="0" borderId="43" xfId="0" applyFont="1" applyBorder="1" applyAlignment="1">
      <alignment horizontal="center" wrapText="1"/>
    </xf>
    <xf numFmtId="166" fontId="8" fillId="6" borderId="0" xfId="1" applyNumberFormat="1" applyFont="1" applyFill="1" applyBorder="1" applyAlignment="1">
      <alignment horizontal="center" vertical="center" wrapText="1"/>
    </xf>
    <xf numFmtId="166" fontId="16" fillId="6" borderId="10" xfId="2" applyNumberFormat="1" applyFont="1" applyFill="1" applyBorder="1" applyAlignment="1">
      <alignment horizontal="right" vertical="center" wrapText="1"/>
    </xf>
    <xf numFmtId="10" fontId="16" fillId="6" borderId="10" xfId="2" applyNumberFormat="1" applyFont="1" applyFill="1" applyBorder="1" applyAlignment="1">
      <alignment horizontal="right" vertical="center" wrapText="1"/>
    </xf>
    <xf numFmtId="43" fontId="8" fillId="0" borderId="0" xfId="1" applyFont="1" applyFill="1" applyBorder="1" applyAlignment="1">
      <alignment horizontal="center" vertical="center" wrapText="1"/>
    </xf>
    <xf numFmtId="43" fontId="8" fillId="6" borderId="0" xfId="1" applyFont="1" applyFill="1" applyBorder="1" applyAlignment="1">
      <alignment horizontal="center" vertical="center" wrapText="1"/>
    </xf>
    <xf numFmtId="0" fontId="11" fillId="0" borderId="45" xfId="0" applyFont="1" applyBorder="1" applyAlignment="1">
      <alignment horizontal="left" wrapText="1"/>
    </xf>
    <xf numFmtId="0" fontId="8" fillId="0" borderId="46" xfId="0" applyFont="1" applyBorder="1" applyAlignment="1">
      <alignment vertical="center" wrapText="1"/>
    </xf>
    <xf numFmtId="0" fontId="10" fillId="0" borderId="47" xfId="0" applyFont="1" applyBorder="1" applyAlignment="1">
      <alignment horizontal="left" wrapText="1"/>
    </xf>
    <xf numFmtId="10" fontId="13" fillId="0" borderId="48" xfId="2" applyNumberFormat="1" applyFont="1" applyBorder="1" applyAlignment="1">
      <alignment vertical="center" wrapText="1"/>
    </xf>
    <xf numFmtId="0" fontId="12" fillId="0" borderId="47" xfId="0" applyFont="1" applyBorder="1" applyAlignment="1">
      <alignment horizontal="left" wrapText="1" indent="3"/>
    </xf>
    <xf numFmtId="10" fontId="8" fillId="0" borderId="48" xfId="2" applyNumberFormat="1" applyFont="1" applyBorder="1" applyAlignment="1">
      <alignment vertical="center" wrapText="1"/>
    </xf>
    <xf numFmtId="0" fontId="10" fillId="0" borderId="47" xfId="0" applyFont="1" applyBorder="1" applyAlignment="1">
      <alignment horizontal="left" wrapText="1" indent="2"/>
    </xf>
    <xf numFmtId="0" fontId="10" fillId="0" borderId="49" xfId="0" applyFont="1" applyBorder="1" applyAlignment="1">
      <alignment horizontal="center" wrapText="1"/>
    </xf>
    <xf numFmtId="0" fontId="10" fillId="0" borderId="50" xfId="0" applyFont="1" applyBorder="1" applyAlignment="1">
      <alignment horizontal="center" wrapText="1"/>
    </xf>
    <xf numFmtId="0" fontId="10" fillId="0" borderId="51" xfId="0" applyFont="1" applyBorder="1" applyAlignment="1">
      <alignment horizontal="left" wrapText="1"/>
    </xf>
    <xf numFmtId="10" fontId="13" fillId="0" borderId="52" xfId="2" applyNumberFormat="1" applyFont="1" applyBorder="1" applyAlignment="1">
      <alignment vertical="center" wrapText="1"/>
    </xf>
    <xf numFmtId="0" fontId="10" fillId="0" borderId="51" xfId="0" applyFont="1" applyBorder="1" applyAlignment="1">
      <alignment horizontal="left" wrapText="1" indent="2"/>
    </xf>
    <xf numFmtId="166" fontId="8" fillId="0" borderId="52" xfId="1" applyNumberFormat="1" applyFont="1" applyFill="1" applyBorder="1" applyAlignment="1">
      <alignment horizontal="center" vertical="center" wrapText="1"/>
    </xf>
    <xf numFmtId="0" fontId="15" fillId="0" borderId="47" xfId="0" applyFont="1" applyBorder="1" applyAlignment="1">
      <alignment horizontal="left" wrapText="1" indent="3"/>
    </xf>
    <xf numFmtId="10" fontId="17" fillId="0" borderId="48" xfId="2" applyNumberFormat="1" applyFont="1" applyBorder="1" applyAlignment="1">
      <alignment vertical="center" wrapText="1"/>
    </xf>
    <xf numFmtId="43" fontId="8" fillId="0" borderId="52" xfId="1" applyFont="1" applyFill="1" applyBorder="1" applyAlignment="1">
      <alignment horizontal="center" vertical="center" wrapText="1"/>
    </xf>
    <xf numFmtId="0" fontId="10" fillId="0" borderId="53" xfId="0" applyFont="1" applyBorder="1" applyAlignment="1">
      <alignment horizontal="left" wrapText="1" indent="2"/>
    </xf>
    <xf numFmtId="0" fontId="10" fillId="0" borderId="54" xfId="0" applyFont="1" applyBorder="1" applyAlignment="1">
      <alignment horizontal="left" wrapText="1" indent="2"/>
    </xf>
    <xf numFmtId="43" fontId="8" fillId="6" borderId="54" xfId="1" applyFont="1" applyFill="1" applyBorder="1" applyAlignment="1">
      <alignment horizontal="center" vertical="center" wrapText="1"/>
    </xf>
    <xf numFmtId="43" fontId="8" fillId="0" borderId="54" xfId="1" applyFont="1" applyFill="1" applyBorder="1" applyAlignment="1">
      <alignment horizontal="center" vertical="center" wrapText="1"/>
    </xf>
    <xf numFmtId="43" fontId="8" fillId="0" borderId="55" xfId="1" applyFont="1" applyFill="1" applyBorder="1" applyAlignment="1">
      <alignment horizontal="center" vertical="center" wrapText="1"/>
    </xf>
    <xf numFmtId="0" fontId="10" fillId="0" borderId="43" xfId="0" applyFont="1" applyBorder="1" applyAlignment="1">
      <alignment horizontal="center" vertical="center" wrapText="1"/>
    </xf>
    <xf numFmtId="0" fontId="10" fillId="0" borderId="43" xfId="0" applyFont="1" applyBorder="1" applyAlignment="1">
      <alignment horizontal="right" vertical="center" wrapText="1"/>
    </xf>
    <xf numFmtId="0" fontId="0" fillId="0" borderId="44" xfId="0" applyBorder="1" applyAlignment="1">
      <alignment vertical="center"/>
    </xf>
    <xf numFmtId="0" fontId="10" fillId="0" borderId="56" xfId="0" applyFont="1" applyBorder="1" applyAlignment="1">
      <alignment horizontal="center" vertical="center" wrapText="1"/>
    </xf>
    <xf numFmtId="0" fontId="10" fillId="0" borderId="57" xfId="0" applyFont="1" applyBorder="1" applyAlignment="1">
      <alignment horizontal="center" vertical="center" wrapText="1"/>
    </xf>
    <xf numFmtId="0" fontId="10" fillId="0" borderId="57" xfId="0" applyFont="1" applyBorder="1" applyAlignment="1">
      <alignment horizontal="right" vertical="center" wrapText="1"/>
    </xf>
    <xf numFmtId="0" fontId="10" fillId="0" borderId="58" xfId="0" applyFont="1" applyBorder="1" applyAlignment="1">
      <alignment horizontal="right" vertical="center" wrapText="1"/>
    </xf>
    <xf numFmtId="0" fontId="10" fillId="0" borderId="49" xfId="0" applyFont="1" applyBorder="1" applyAlignment="1">
      <alignment horizontal="center" vertical="center" wrapText="1"/>
    </xf>
    <xf numFmtId="0" fontId="10" fillId="0" borderId="50" xfId="0" applyFont="1" applyBorder="1" applyAlignment="1">
      <alignment horizontal="right" vertical="center" wrapText="1"/>
    </xf>
    <xf numFmtId="0" fontId="11" fillId="0" borderId="45" xfId="0" applyFont="1" applyBorder="1" applyAlignment="1">
      <alignment horizontal="left" vertical="center" wrapText="1"/>
    </xf>
    <xf numFmtId="0" fontId="0" fillId="0" borderId="59" xfId="0" applyBorder="1" applyAlignment="1">
      <alignment vertical="center"/>
    </xf>
    <xf numFmtId="0" fontId="0" fillId="0" borderId="60" xfId="0" applyBorder="1" applyAlignment="1">
      <alignment vertical="center"/>
    </xf>
    <xf numFmtId="0" fontId="0" fillId="0" borderId="61" xfId="0" applyBorder="1" applyAlignment="1">
      <alignment vertical="center"/>
    </xf>
    <xf numFmtId="0" fontId="0" fillId="0" borderId="62" xfId="0" applyBorder="1" applyAlignment="1">
      <alignment vertical="center"/>
    </xf>
    <xf numFmtId="0" fontId="9" fillId="0" borderId="43" xfId="0" applyFont="1" applyBorder="1" applyAlignment="1">
      <alignment horizontal="center" vertical="center" wrapText="1"/>
    </xf>
    <xf numFmtId="179" fontId="50" fillId="0" borderId="0" xfId="2" applyNumberFormat="1" applyFont="1" applyBorder="1" applyAlignment="1">
      <alignment horizontal="right" vertical="center"/>
    </xf>
    <xf numFmtId="181" fontId="50" fillId="0" borderId="0" xfId="2" applyNumberFormat="1" applyFont="1" applyBorder="1" applyAlignment="1">
      <alignment horizontal="right" vertical="center"/>
    </xf>
    <xf numFmtId="179" fontId="50" fillId="0" borderId="52" xfId="2" applyNumberFormat="1" applyFont="1" applyBorder="1" applyAlignment="1">
      <alignment horizontal="right" vertical="center"/>
    </xf>
    <xf numFmtId="0" fontId="31" fillId="0" borderId="43" xfId="0" applyFont="1" applyBorder="1" applyAlignment="1">
      <alignment horizontal="right" vertical="center"/>
    </xf>
    <xf numFmtId="0" fontId="31" fillId="0" borderId="50" xfId="0" applyFont="1" applyBorder="1" applyAlignment="1">
      <alignment horizontal="right" vertical="center"/>
    </xf>
    <xf numFmtId="181" fontId="50" fillId="0" borderId="52" xfId="2" applyNumberFormat="1" applyFont="1" applyBorder="1" applyAlignment="1">
      <alignment horizontal="right" vertical="center"/>
    </xf>
    <xf numFmtId="9" fontId="50" fillId="0" borderId="0" xfId="2" applyNumberFormat="1" applyFont="1" applyBorder="1" applyAlignment="1">
      <alignment horizontal="right" vertical="center"/>
    </xf>
    <xf numFmtId="10" fontId="50" fillId="0" borderId="0" xfId="2" applyNumberFormat="1" applyFont="1" applyBorder="1" applyAlignment="1">
      <alignment horizontal="right" vertical="center"/>
    </xf>
    <xf numFmtId="9" fontId="50" fillId="0" borderId="52" xfId="2" applyNumberFormat="1" applyFont="1" applyBorder="1" applyAlignment="1">
      <alignment horizontal="right" vertical="center"/>
    </xf>
    <xf numFmtId="0" fontId="9" fillId="0" borderId="57" xfId="0" applyFont="1" applyBorder="1" applyAlignment="1">
      <alignment horizontal="center" vertical="center" wrapText="1"/>
    </xf>
    <xf numFmtId="0" fontId="21" fillId="0" borderId="56" xfId="0" applyFont="1" applyBorder="1" applyAlignment="1">
      <alignment horizontal="center" vertical="center" wrapText="1"/>
    </xf>
    <xf numFmtId="0" fontId="21" fillId="0" borderId="57" xfId="0" applyFont="1" applyBorder="1" applyAlignment="1">
      <alignment horizontal="center" vertical="center" wrapText="1"/>
    </xf>
    <xf numFmtId="0" fontId="22" fillId="0" borderId="57" xfId="0" applyFont="1" applyBorder="1" applyAlignment="1">
      <alignment horizontal="center" vertical="center" wrapText="1"/>
    </xf>
    <xf numFmtId="0" fontId="22" fillId="0" borderId="58" xfId="0" applyFont="1" applyBorder="1" applyAlignment="1">
      <alignment horizontal="center" vertical="center" wrapText="1"/>
    </xf>
    <xf numFmtId="166" fontId="8" fillId="0" borderId="52" xfId="1" applyNumberFormat="1" applyFont="1" applyBorder="1" applyAlignment="1">
      <alignment horizontal="center" vertical="center" wrapText="1"/>
    </xf>
    <xf numFmtId="166" fontId="8" fillId="0" borderId="48" xfId="1" applyNumberFormat="1" applyFont="1" applyBorder="1" applyAlignment="1">
      <alignment vertical="center" wrapText="1"/>
    </xf>
    <xf numFmtId="10" fontId="14" fillId="0" borderId="48" xfId="2" applyNumberFormat="1" applyFont="1" applyBorder="1" applyAlignment="1">
      <alignment horizontal="right" vertical="center" wrapText="1"/>
    </xf>
    <xf numFmtId="0" fontId="12" fillId="0" borderId="63" xfId="0" applyFont="1" applyBorder="1" applyAlignment="1">
      <alignment horizontal="left" wrapText="1" indent="3"/>
    </xf>
    <xf numFmtId="10" fontId="14" fillId="0" borderId="64" xfId="2" applyNumberFormat="1" applyFont="1" applyBorder="1" applyAlignment="1">
      <alignment horizontal="right" vertical="center" wrapText="1"/>
    </xf>
    <xf numFmtId="0" fontId="10" fillId="0" borderId="47" xfId="0" applyFont="1" applyBorder="1" applyAlignment="1">
      <alignment horizontal="left" wrapText="1" indent="2"/>
    </xf>
    <xf numFmtId="166" fontId="8" fillId="0" borderId="64" xfId="1" applyNumberFormat="1" applyFont="1" applyBorder="1" applyAlignment="1">
      <alignment horizontal="center" vertical="center" wrapText="1"/>
    </xf>
    <xf numFmtId="0" fontId="10" fillId="0" borderId="47" xfId="0" applyFont="1" applyFill="1" applyBorder="1" applyAlignment="1">
      <alignment horizontal="left" wrapText="1"/>
    </xf>
    <xf numFmtId="10" fontId="13" fillId="0" borderId="48" xfId="2" applyNumberFormat="1" applyFont="1" applyFill="1" applyBorder="1" applyAlignment="1">
      <alignment vertical="center" wrapText="1"/>
    </xf>
    <xf numFmtId="0" fontId="10" fillId="0" borderId="51" xfId="0" applyFont="1" applyFill="1" applyBorder="1" applyAlignment="1">
      <alignment horizontal="left" wrapText="1"/>
    </xf>
    <xf numFmtId="10" fontId="13" fillId="0" borderId="52" xfId="2" applyNumberFormat="1" applyFont="1" applyFill="1" applyBorder="1" applyAlignment="1">
      <alignment vertical="center" wrapText="1"/>
    </xf>
    <xf numFmtId="166" fontId="8" fillId="0" borderId="64" xfId="1" applyNumberFormat="1" applyFont="1" applyFill="1" applyBorder="1" applyAlignment="1">
      <alignment horizontal="center" vertical="center" wrapText="1"/>
    </xf>
    <xf numFmtId="0" fontId="18" fillId="0" borderId="47" xfId="0" applyFont="1" applyBorder="1" applyAlignment="1">
      <alignment horizontal="left" wrapText="1"/>
    </xf>
    <xf numFmtId="0" fontId="10" fillId="0" borderId="53" xfId="0" applyFont="1" applyFill="1" applyBorder="1" applyAlignment="1">
      <alignment horizontal="left" wrapText="1"/>
    </xf>
    <xf numFmtId="0" fontId="10" fillId="0" borderId="54" xfId="0" applyFont="1" applyFill="1" applyBorder="1" applyAlignment="1">
      <alignment horizontal="left" wrapText="1"/>
    </xf>
    <xf numFmtId="0" fontId="10" fillId="0" borderId="54" xfId="0" applyFont="1" applyFill="1" applyBorder="1" applyAlignment="1">
      <alignment wrapText="1"/>
    </xf>
    <xf numFmtId="0" fontId="0" fillId="0" borderId="61" xfId="0" applyBorder="1"/>
    <xf numFmtId="0" fontId="0" fillId="0" borderId="62" xfId="0" applyBorder="1"/>
    <xf numFmtId="0" fontId="21" fillId="0" borderId="49" xfId="0" applyFont="1" applyBorder="1" applyAlignment="1">
      <alignment horizontal="center" vertical="center" wrapText="1"/>
    </xf>
    <xf numFmtId="0" fontId="21" fillId="0" borderId="43" xfId="0" applyFont="1" applyBorder="1" applyAlignment="1">
      <alignment horizontal="center" vertical="center" wrapText="1"/>
    </xf>
    <xf numFmtId="0" fontId="22" fillId="0" borderId="43" xfId="0" applyFont="1" applyBorder="1" applyAlignment="1">
      <alignment horizontal="center" vertical="center" wrapText="1"/>
    </xf>
    <xf numFmtId="0" fontId="22" fillId="0" borderId="50" xfId="0" applyFont="1" applyBorder="1" applyAlignment="1">
      <alignment horizontal="center" vertical="center" wrapText="1"/>
    </xf>
    <xf numFmtId="10" fontId="14" fillId="6" borderId="11" xfId="2" applyNumberFormat="1" applyFont="1" applyFill="1" applyBorder="1" applyAlignment="1">
      <alignment horizontal="right" vertical="center" wrapText="1"/>
    </xf>
    <xf numFmtId="166" fontId="8" fillId="6" borderId="11" xfId="1" applyNumberFormat="1" applyFont="1" applyFill="1" applyBorder="1" applyAlignment="1">
      <alignment horizontal="center" vertical="center" wrapText="1"/>
    </xf>
  </cellXfs>
  <cellStyles count="4">
    <cellStyle name="Comma" xfId="1" builtinId="3"/>
    <cellStyle name="Hyperlink" xfId="3" builtinId="8"/>
    <cellStyle name="Normal" xfId="0" builtinId="0"/>
    <cellStyle name="Percent" xfId="2" builtinId="5"/>
  </cellStyles>
  <dxfs count="1">
    <dxf>
      <font>
        <color rgb="FFFF0000"/>
      </font>
    </dxf>
  </dxfs>
  <tableStyles count="0" defaultTableStyle="TableStyleMedium2" defaultPivotStyle="PivotStyleLight16"/>
  <colors>
    <mruColors>
      <color rgb="FF002060"/>
      <color rgb="FFCC9B00"/>
      <color rgb="FFFF4343"/>
      <color rgb="FFAFCAFF"/>
      <color rgb="FF75A3FF"/>
      <color rgb="FFFFF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1.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REVENUE</a:t>
            </a:r>
            <a:r>
              <a:rPr lang="en-US" sz="1200">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(USD thousand)</a:t>
            </a:r>
            <a:endParaRPr lang="en-US" sz="1200">
              <a:solidFill>
                <a:srgbClr val="002060"/>
              </a:solidFill>
              <a:latin typeface="Arial" panose="020B0604020202020204" pitchFamily="34" charset="0"/>
              <a:cs typeface="Arial" panose="020B0604020202020204" pitchFamily="34" charset="0"/>
            </a:endParaRPr>
          </a:p>
        </c:rich>
      </c:tx>
      <c:layout>
        <c:manualLayout>
          <c:xMode val="edge"/>
          <c:yMode val="edge"/>
          <c:x val="2.069335083114611E-3"/>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data!$A$3</c:f>
              <c:strCache>
                <c:ptCount val="1"/>
                <c:pt idx="0">
                  <c:v>Total Revenue</c:v>
                </c:pt>
              </c:strCache>
            </c:strRef>
          </c:tx>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B752-4372-B1DD-CDDD69AD00B5}"/>
              </c:ext>
            </c:extLst>
          </c:dPt>
          <c:dPt>
            <c:idx val="1"/>
            <c:invertIfNegative val="0"/>
            <c:bubble3D val="0"/>
            <c:spPr>
              <a:solidFill>
                <a:srgbClr val="002060"/>
              </a:solidFill>
              <a:ln>
                <a:noFill/>
              </a:ln>
              <a:effectLst/>
            </c:spPr>
            <c:extLst>
              <c:ext xmlns:c16="http://schemas.microsoft.com/office/drawing/2014/chart" uri="{C3380CC4-5D6E-409C-BE32-E72D297353CC}">
                <c16:uniqueId val="{00000003-B752-4372-B1DD-CDDD69AD00B5}"/>
              </c:ext>
            </c:extLst>
          </c:dPt>
          <c:dPt>
            <c:idx val="2"/>
            <c:invertIfNegative val="0"/>
            <c:bubble3D val="0"/>
            <c:spPr>
              <a:solidFill>
                <a:srgbClr val="002060"/>
              </a:solidFill>
              <a:ln>
                <a:noFill/>
              </a:ln>
              <a:effectLst/>
            </c:spPr>
            <c:extLst>
              <c:ext xmlns:c16="http://schemas.microsoft.com/office/drawing/2014/chart" uri="{C3380CC4-5D6E-409C-BE32-E72D297353CC}">
                <c16:uniqueId val="{00000005-B752-4372-B1DD-CDDD69AD00B5}"/>
              </c:ext>
            </c:extLst>
          </c:dPt>
          <c:dPt>
            <c:idx val="3"/>
            <c:invertIfNegative val="0"/>
            <c:bubble3D val="0"/>
            <c:spPr>
              <a:solidFill>
                <a:srgbClr val="002060"/>
              </a:solidFill>
              <a:ln>
                <a:noFill/>
              </a:ln>
              <a:effectLst/>
            </c:spPr>
            <c:extLst>
              <c:ext xmlns:c16="http://schemas.microsoft.com/office/drawing/2014/chart" uri="{C3380CC4-5D6E-409C-BE32-E72D297353CC}">
                <c16:uniqueId val="{00000007-B752-4372-B1DD-CDDD69AD00B5}"/>
              </c:ext>
            </c:extLst>
          </c:dPt>
          <c:dPt>
            <c:idx val="4"/>
            <c:invertIfNegative val="0"/>
            <c:bubble3D val="0"/>
            <c:spPr>
              <a:solidFill>
                <a:srgbClr val="AFCAFF"/>
              </a:solidFill>
              <a:ln>
                <a:noFill/>
              </a:ln>
              <a:effectLst/>
            </c:spPr>
            <c:extLst>
              <c:ext xmlns:c16="http://schemas.microsoft.com/office/drawing/2014/chart" uri="{C3380CC4-5D6E-409C-BE32-E72D297353CC}">
                <c16:uniqueId val="{00000009-B752-4372-B1DD-CDDD69AD00B5}"/>
              </c:ext>
            </c:extLst>
          </c:dPt>
          <c:dPt>
            <c:idx val="5"/>
            <c:invertIfNegative val="0"/>
            <c:bubble3D val="0"/>
            <c:spPr>
              <a:solidFill>
                <a:srgbClr val="AFCAFF"/>
              </a:solidFill>
              <a:ln>
                <a:noFill/>
              </a:ln>
              <a:effectLst/>
            </c:spPr>
            <c:extLst>
              <c:ext xmlns:c16="http://schemas.microsoft.com/office/drawing/2014/chart" uri="{C3380CC4-5D6E-409C-BE32-E72D297353CC}">
                <c16:uniqueId val="{0000000B-B752-4372-B1DD-CDDD69AD00B5}"/>
              </c:ext>
            </c:extLst>
          </c:dPt>
          <c:dPt>
            <c:idx val="6"/>
            <c:invertIfNegative val="0"/>
            <c:bubble3D val="0"/>
            <c:spPr>
              <a:solidFill>
                <a:srgbClr val="AFCAFF"/>
              </a:solidFill>
              <a:ln>
                <a:noFill/>
              </a:ln>
              <a:effectLst/>
            </c:spPr>
            <c:extLst>
              <c:ext xmlns:c16="http://schemas.microsoft.com/office/drawing/2014/chart" uri="{C3380CC4-5D6E-409C-BE32-E72D297353CC}">
                <c16:uniqueId val="{0000000D-B752-4372-B1DD-CDDD69AD00B5}"/>
              </c:ext>
            </c:extLst>
          </c:dPt>
          <c:dPt>
            <c:idx val="7"/>
            <c:invertIfNegative val="0"/>
            <c:bubble3D val="0"/>
            <c:spPr>
              <a:solidFill>
                <a:srgbClr val="AFCAFF"/>
              </a:solidFill>
              <a:ln>
                <a:noFill/>
              </a:ln>
              <a:effectLst/>
            </c:spPr>
            <c:extLst>
              <c:ext xmlns:c16="http://schemas.microsoft.com/office/drawing/2014/chart" uri="{C3380CC4-5D6E-409C-BE32-E72D297353CC}">
                <c16:uniqueId val="{0000000F-B752-4372-B1DD-CDDD69AD00B5}"/>
              </c:ext>
            </c:extLst>
          </c:dPt>
          <c:dPt>
            <c:idx val="8"/>
            <c:invertIfNegative val="0"/>
            <c:bubble3D val="0"/>
            <c:spPr>
              <a:solidFill>
                <a:srgbClr val="AFCAFF"/>
              </a:solidFill>
              <a:ln>
                <a:noFill/>
              </a:ln>
              <a:effectLst/>
            </c:spPr>
            <c:extLst>
              <c:ext xmlns:c16="http://schemas.microsoft.com/office/drawing/2014/chart" uri="{C3380CC4-5D6E-409C-BE32-E72D297353CC}">
                <c16:uniqueId val="{00000011-B752-4372-B1DD-CDDD69AD00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12-B752-4372-B1DD-CDDD69AD00B5}"/>
            </c:ext>
          </c:extLst>
        </c:ser>
        <c:dLbls>
          <c:dLblPos val="outEnd"/>
          <c:showLegendKey val="0"/>
          <c:showVal val="1"/>
          <c:showCatName val="0"/>
          <c:showSerName val="0"/>
          <c:showPercent val="0"/>
          <c:showBubbleSize val="0"/>
        </c:dLbls>
        <c:gapWidth val="150"/>
        <c:overlap val="-27"/>
        <c:axId val="121181103"/>
        <c:axId val="121171983"/>
      </c:barChart>
      <c:catAx>
        <c:axId val="121181103"/>
        <c:scaling>
          <c:orientation val="minMax"/>
        </c:scaling>
        <c:delete val="0"/>
        <c:axPos val="b"/>
        <c:numFmt formatCode="General" sourceLinked="1"/>
        <c:majorTickMark val="none"/>
        <c:minorTickMark val="none"/>
        <c:tickLblPos val="nextTo"/>
        <c:spPr>
          <a:noFill/>
          <a:ln w="19050" cap="flat" cmpd="sng" algn="ctr">
            <a:solidFill>
              <a:schemeClr val="tx1">
                <a:lumMod val="65000"/>
                <a:lumOff val="35000"/>
              </a:schemeClr>
            </a:solidFill>
            <a:round/>
            <a:tailEnd type="stealth"/>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1171983"/>
        <c:crosses val="autoZero"/>
        <c:auto val="1"/>
        <c:lblAlgn val="ctr"/>
        <c:lblOffset val="100"/>
        <c:noMultiLvlLbl val="0"/>
      </c:catAx>
      <c:valAx>
        <c:axId val="121171983"/>
        <c:scaling>
          <c:orientation val="minMax"/>
        </c:scaling>
        <c:delete val="0"/>
        <c:axPos val="l"/>
        <c:numFmt formatCode="_(* #,##0_);_(* \(#,##0\);_(* &quot;-&quot;??_);_(@_)" sourceLinked="1"/>
        <c:majorTickMark val="none"/>
        <c:minorTickMark val="none"/>
        <c:tickLblPos val="nextTo"/>
        <c:spPr>
          <a:noFill/>
          <a:ln w="19050" cap="flat">
            <a:solidFill>
              <a:schemeClr val="tx1">
                <a:lumMod val="65000"/>
                <a:lumOff val="35000"/>
              </a:schemeClr>
            </a:solidFill>
            <a:round/>
            <a:headEnd type="none"/>
            <a:tailEnd type="stealth"/>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21181103"/>
        <c:crosses val="autoZero"/>
        <c:crossBetween val="between"/>
      </c:valAx>
      <c:spPr>
        <a:noFill/>
        <a:ln>
          <a:noFill/>
        </a:ln>
        <a:effectLst/>
      </c:spPr>
    </c:plotArea>
    <c:plotVisOnly val="1"/>
    <c:dispBlanksAs val="gap"/>
    <c:showDLblsOverMax val="0"/>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EBITDA</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&amp;</a:t>
            </a:r>
            <a:r>
              <a:rPr lang="en-US" sz="100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EBITDA</a:t>
            </a:r>
            <a:r>
              <a:rPr lang="en-US" sz="105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MARGIN</a:t>
            </a:r>
            <a:r>
              <a:rPr lang="en-US" sz="1000" baseline="0">
                <a:solidFill>
                  <a:srgbClr val="002060"/>
                </a:solidFill>
                <a:latin typeface="Arial" panose="020B0604020202020204" pitchFamily="34" charset="0"/>
                <a:cs typeface="Arial" panose="020B0604020202020204" pitchFamily="34" charset="0"/>
              </a:rPr>
              <a:t> </a:t>
            </a:r>
            <a:r>
              <a:rPr lang="en-US" sz="900" baseline="0">
                <a:solidFill>
                  <a:srgbClr val="002060"/>
                </a:solidFill>
                <a:latin typeface="Arial" panose="020B0604020202020204" pitchFamily="34" charset="0"/>
                <a:cs typeface="Arial" panose="020B0604020202020204" pitchFamily="34" charset="0"/>
              </a:rPr>
              <a:t>(%)</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7.5678040244969377E-4"/>
          <c:y val="0"/>
        </c:manualLayout>
      </c:layout>
      <c:overlay val="0"/>
      <c:spPr>
        <a:noFill/>
        <a:ln>
          <a:noFill/>
        </a:ln>
        <a:effectLst/>
      </c:spPr>
    </c:title>
    <c:autoTitleDeleted val="0"/>
    <c:plotArea>
      <c:layout/>
      <c:barChart>
        <c:barDir val="col"/>
        <c:grouping val="clustered"/>
        <c:varyColors val="0"/>
        <c:ser>
          <c:idx val="6"/>
          <c:order val="0"/>
          <c:tx>
            <c:strRef>
              <c:f>data!$A$3</c:f>
              <c:strCache>
                <c:ptCount val="1"/>
                <c:pt idx="0">
                  <c:v>Total 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18-7CAE-4016-BBF9-3B6F0B0C2994}"/>
            </c:ext>
          </c:extLst>
        </c:ser>
        <c:ser>
          <c:idx val="7"/>
          <c:order val="1"/>
          <c:tx>
            <c:strRef>
              <c:f>data!$A$4</c:f>
              <c:strCache>
                <c:ptCount val="1"/>
                <c:pt idx="0">
                  <c:v>EBITDA</c:v>
                </c:pt>
              </c:strCache>
            </c:strRef>
          </c:tx>
          <c:spPr>
            <a:solidFill>
              <a:srgbClr val="00206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19-7CAE-4016-BBF9-3B6F0B0C2994}"/>
            </c:ext>
          </c:extLst>
        </c:ser>
        <c:ser>
          <c:idx val="8"/>
          <c:order val="2"/>
          <c:tx>
            <c:strRef>
              <c:f>data!$A$5</c:f>
              <c:strCache>
                <c:ptCount val="1"/>
                <c:pt idx="0">
                  <c:v>EBITDA Margin</c:v>
                </c:pt>
              </c:strCache>
            </c:strRef>
          </c:tx>
          <c:spPr>
            <a:ln>
              <a:solidFill>
                <a:srgbClr val="75A3FF"/>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1A-7CAE-4016-BBF9-3B6F0B0C2994}"/>
            </c:ext>
          </c:extLst>
        </c:ser>
        <c:ser>
          <c:idx val="9"/>
          <c:order val="3"/>
          <c:tx>
            <c:strRef>
              <c:f>data!$A$3</c:f>
              <c:strCache>
                <c:ptCount val="1"/>
                <c:pt idx="0">
                  <c:v>Total Revenue</c:v>
                </c:pt>
              </c:strCache>
            </c:strRef>
          </c:tx>
          <c:spPr>
            <a:solidFill>
              <a:schemeClr val="accent1"/>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1B-7CAE-4016-BBF9-3B6F0B0C2994}"/>
            </c:ext>
          </c:extLst>
        </c:ser>
        <c:ser>
          <c:idx val="10"/>
          <c:order val="4"/>
          <c:tx>
            <c:strRef>
              <c:f>data!$A$4</c:f>
              <c:strCache>
                <c:ptCount val="1"/>
                <c:pt idx="0">
                  <c:v>EBITDA</c:v>
                </c:pt>
              </c:strCache>
            </c:strRef>
          </c:tx>
          <c:spPr>
            <a:solidFill>
              <a:srgbClr val="00206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1C-7CAE-4016-BBF9-3B6F0B0C2994}"/>
            </c:ext>
          </c:extLst>
        </c:ser>
        <c:ser>
          <c:idx val="11"/>
          <c:order val="5"/>
          <c:tx>
            <c:strRef>
              <c:f>data!$A$5</c:f>
              <c:strCache>
                <c:ptCount val="1"/>
                <c:pt idx="0">
                  <c:v>EBITDA Margin</c:v>
                </c:pt>
              </c:strCache>
            </c:strRef>
          </c:tx>
          <c:spPr>
            <a:ln w="28575" cap="rnd">
              <a:solidFill>
                <a:srgbClr val="75A3FF"/>
              </a:solidFill>
              <a:round/>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1D-7CAE-4016-BBF9-3B6F0B0C2994}"/>
            </c:ext>
          </c:extLst>
        </c:ser>
        <c:ser>
          <c:idx val="3"/>
          <c:order val="6"/>
          <c:tx>
            <c:strRef>
              <c:f>data!$A$3</c:f>
              <c:strCache>
                <c:ptCount val="1"/>
                <c:pt idx="0">
                  <c:v>Total 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D-7CAE-4016-BBF9-3B6F0B0C2994}"/>
            </c:ext>
          </c:extLst>
        </c:ser>
        <c:ser>
          <c:idx val="4"/>
          <c:order val="7"/>
          <c:tx>
            <c:strRef>
              <c:f>data!$A$4</c:f>
              <c:strCache>
                <c:ptCount val="1"/>
                <c:pt idx="0">
                  <c:v>EBITDA</c:v>
                </c:pt>
              </c:strCache>
            </c:strRef>
          </c:tx>
          <c:spPr>
            <a:solidFill>
              <a:srgbClr val="00206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F-7CAE-4016-BBF9-3B6F0B0C2994}"/>
            </c:ext>
          </c:extLst>
        </c:ser>
        <c:ser>
          <c:idx val="5"/>
          <c:order val="8"/>
          <c:tx>
            <c:strRef>
              <c:f>data!$A$5</c:f>
              <c:strCache>
                <c:ptCount val="1"/>
                <c:pt idx="0">
                  <c:v>EBITDA Margin</c:v>
                </c:pt>
              </c:strCache>
            </c:strRef>
          </c:tx>
          <c:spPr>
            <a:ln>
              <a:solidFill>
                <a:srgbClr val="75A3FF"/>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11-7CAE-4016-BBF9-3B6F0B0C2994}"/>
            </c:ext>
          </c:extLst>
        </c:ser>
        <c:ser>
          <c:idx val="0"/>
          <c:order val="9"/>
          <c:tx>
            <c:strRef>
              <c:f>data!$A$3</c:f>
              <c:strCache>
                <c:ptCount val="1"/>
                <c:pt idx="0">
                  <c:v>Total Revenue</c:v>
                </c:pt>
              </c:strCache>
              <c:extLst xmlns:c15="http://schemas.microsoft.com/office/drawing/2012/chart"/>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extLst xmlns:c15="http://schemas.microsoft.com/office/drawing/2012/chart"/>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extLst xmlns:c15="http://schemas.microsoft.com/office/drawing/2012/chart"/>
            </c:numRef>
          </c:val>
          <c:extLst>
            <c:ext xmlns:c16="http://schemas.microsoft.com/office/drawing/2014/chart" uri="{C3380CC4-5D6E-409C-BE32-E72D297353CC}">
              <c16:uniqueId val="{00000013-7CAE-4016-BBF9-3B6F0B0C2994}"/>
            </c:ext>
          </c:extLst>
        </c:ser>
        <c:ser>
          <c:idx val="1"/>
          <c:order val="10"/>
          <c:tx>
            <c:strRef>
              <c:f>data!$A$4</c:f>
              <c:strCache>
                <c:ptCount val="1"/>
                <c:pt idx="0">
                  <c:v>EBITDA</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15-7CAE-4016-BBF9-3B6F0B0C2994}"/>
            </c:ext>
          </c:extLst>
        </c:ser>
        <c:dLbls>
          <c:showLegendKey val="0"/>
          <c:showVal val="1"/>
          <c:showCatName val="0"/>
          <c:showSerName val="0"/>
          <c:showPercent val="0"/>
          <c:showBubbleSize val="0"/>
        </c:dLbls>
        <c:gapWidth val="150"/>
        <c:axId val="1586404191"/>
        <c:axId val="1586396991"/>
        <c:extLst/>
      </c:barChart>
      <c:lineChart>
        <c:grouping val="standard"/>
        <c:varyColors val="0"/>
        <c:ser>
          <c:idx val="2"/>
          <c:order val="11"/>
          <c:tx>
            <c:strRef>
              <c:f>data!$A$5</c:f>
              <c:strCache>
                <c:ptCount val="1"/>
                <c:pt idx="0">
                  <c:v>EBITDA Margin</c:v>
                </c:pt>
              </c:strCache>
            </c:strRef>
          </c:tx>
          <c:spPr>
            <a:ln w="28575" cap="rnd">
              <a:solidFill>
                <a:srgbClr val="75A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smooth val="0"/>
          <c:extLst>
            <c:ext xmlns:c16="http://schemas.microsoft.com/office/drawing/2014/chart" uri="{C3380CC4-5D6E-409C-BE32-E72D297353CC}">
              <c16:uniqueId val="{00000017-7CAE-4016-BBF9-3B6F0B0C2994}"/>
            </c:ext>
          </c:extLst>
        </c:ser>
        <c:dLbls>
          <c:showLegendKey val="0"/>
          <c:showVal val="1"/>
          <c:showCatName val="0"/>
          <c:showSerName val="0"/>
          <c:showPercent val="0"/>
          <c:showBubbleSize val="0"/>
        </c:dLbls>
        <c:marker val="1"/>
        <c:smooth val="0"/>
        <c:axId val="1547454735"/>
        <c:axId val="1547460495"/>
      </c:lineChart>
      <c:catAx>
        <c:axId val="1586404191"/>
        <c:scaling>
          <c:orientation val="minMax"/>
        </c:scaling>
        <c:delete val="0"/>
        <c:axPos val="b"/>
        <c:numFmt formatCode="General" sourceLinked="1"/>
        <c:majorTickMark val="none"/>
        <c:minorTickMark val="none"/>
        <c:tickLblPos val="nextTo"/>
        <c:spPr>
          <a:no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min val="0"/>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04191"/>
        <c:crosses val="autoZero"/>
        <c:crossBetween val="between"/>
      </c:valAx>
      <c:valAx>
        <c:axId val="15474604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54735"/>
        <c:crosses val="max"/>
        <c:crossBetween val="between"/>
      </c:valAx>
      <c:catAx>
        <c:axId val="1547454735"/>
        <c:scaling>
          <c:orientation val="minMax"/>
        </c:scaling>
        <c:delete val="1"/>
        <c:axPos val="b"/>
        <c:numFmt formatCode="General" sourceLinked="1"/>
        <c:majorTickMark val="out"/>
        <c:minorTickMark val="none"/>
        <c:tickLblPos val="nextTo"/>
        <c:crossAx val="1547460495"/>
        <c:crosses val="autoZero"/>
        <c:auto val="1"/>
        <c:lblAlgn val="ctr"/>
        <c:lblOffset val="100"/>
        <c:noMultiLvlLbl val="0"/>
      </c:catAx>
      <c:dTable>
        <c:showHorzBorder val="1"/>
        <c:showVertBorder val="1"/>
        <c:showOutline val="1"/>
        <c:showKeys val="1"/>
      </c:dTable>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EBITDA</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&amp;</a:t>
            </a:r>
            <a:r>
              <a:rPr lang="en-US" sz="100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EBITDA</a:t>
            </a:r>
            <a:r>
              <a:rPr lang="en-US" sz="105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MARGIN</a:t>
            </a:r>
            <a:r>
              <a:rPr lang="en-US" sz="1000" baseline="0">
                <a:solidFill>
                  <a:srgbClr val="002060"/>
                </a:solidFill>
                <a:latin typeface="Arial" panose="020B0604020202020204" pitchFamily="34" charset="0"/>
                <a:cs typeface="Arial" panose="020B0604020202020204" pitchFamily="34" charset="0"/>
              </a:rPr>
              <a:t> </a:t>
            </a:r>
            <a:r>
              <a:rPr lang="en-US" sz="900" baseline="0">
                <a:solidFill>
                  <a:srgbClr val="002060"/>
                </a:solidFill>
                <a:latin typeface="Arial" panose="020B0604020202020204" pitchFamily="34" charset="0"/>
                <a:cs typeface="Arial" panose="020B0604020202020204" pitchFamily="34" charset="0"/>
              </a:rPr>
              <a:t>(%)</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7.5678040244969377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data!$A$4</c:f>
              <c:strCache>
                <c:ptCount val="1"/>
                <c:pt idx="0">
                  <c:v>EBITDA</c:v>
                </c:pt>
              </c:strCache>
            </c:strRef>
          </c:tx>
          <c:spPr>
            <a:solidFill>
              <a:srgbClr val="00206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3-2578-454E-85ED-9706F77CB108}"/>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4-2578-454E-85ED-9706F77CB1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0-2578-454E-85ED-9706F77CB108}"/>
            </c:ext>
          </c:extLst>
        </c:ser>
        <c:dLbls>
          <c:showLegendKey val="0"/>
          <c:showVal val="1"/>
          <c:showCatName val="0"/>
          <c:showSerName val="0"/>
          <c:showPercent val="0"/>
          <c:showBubbleSize val="0"/>
        </c:dLbls>
        <c:gapWidth val="150"/>
        <c:axId val="1586404191"/>
        <c:axId val="1586396991"/>
        <c:extLst>
          <c:ext xmlns:c15="http://schemas.microsoft.com/office/drawing/2012/chart" uri="{02D57815-91ED-43cb-92C2-25804820EDAC}">
            <c15:filteredBarSeries>
              <c15:ser>
                <c:idx val="0"/>
                <c:order val="0"/>
                <c:tx>
                  <c:strRef>
                    <c:extLst>
                      <c:ext uri="{02D57815-91ED-43cb-92C2-25804820EDAC}">
                        <c15:formulaRef>
                          <c15:sqref>data!$A$3</c15:sqref>
                        </c15:formulaRef>
                      </c:ext>
                    </c:extLst>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uri="{02D57815-91ED-43cb-92C2-25804820EDAC}">
                        <c15:formulaRef>
                          <c15:sqref>data!$B$3:$J$3</c15:sqref>
                        </c15:formulaRef>
                      </c:ext>
                    </c:extLst>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2-2578-454E-85ED-9706F77CB108}"/>
                  </c:ext>
                </c:extLst>
              </c15:ser>
            </c15:filteredBarSeries>
          </c:ext>
        </c:extLst>
      </c:barChart>
      <c:lineChart>
        <c:grouping val="standard"/>
        <c:varyColors val="0"/>
        <c:ser>
          <c:idx val="2"/>
          <c:order val="2"/>
          <c:tx>
            <c:strRef>
              <c:f>data!$A$5</c:f>
              <c:strCache>
                <c:ptCount val="1"/>
                <c:pt idx="0">
                  <c:v>EBITDA Margin</c:v>
                </c:pt>
              </c:strCache>
            </c:strRef>
          </c:tx>
          <c:spPr>
            <a:ln w="28575" cap="rnd">
              <a:solidFill>
                <a:srgbClr val="75A3FF"/>
              </a:solidFill>
              <a:round/>
            </a:ln>
            <a:effectLst/>
          </c:spPr>
          <c:marker>
            <c:symbol val="none"/>
          </c:marker>
          <c:dLbls>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5-2578-454E-85ED-9706F77CB108}"/>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6-2578-454E-85ED-9706F77CB1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smooth val="0"/>
          <c:extLst>
            <c:ext xmlns:c16="http://schemas.microsoft.com/office/drawing/2014/chart" uri="{C3380CC4-5D6E-409C-BE32-E72D297353CC}">
              <c16:uniqueId val="{00000001-2578-454E-85ED-9706F77CB108}"/>
            </c:ext>
          </c:extLst>
        </c:ser>
        <c:dLbls>
          <c:showLegendKey val="0"/>
          <c:showVal val="1"/>
          <c:showCatName val="0"/>
          <c:showSerName val="0"/>
          <c:showPercent val="0"/>
          <c:showBubbleSize val="0"/>
        </c:dLbls>
        <c:marker val="1"/>
        <c:smooth val="0"/>
        <c:axId val="1547454735"/>
        <c:axId val="1547460495"/>
      </c:lineChart>
      <c:catAx>
        <c:axId val="1586404191"/>
        <c:scaling>
          <c:orientation val="minMax"/>
        </c:scaling>
        <c:delete val="0"/>
        <c:axPos val="b"/>
        <c:numFmt formatCode="General" sourceLinked="1"/>
        <c:majorTickMark val="none"/>
        <c:minorTickMark val="none"/>
        <c:tickLblPos val="nextTo"/>
        <c:spPr>
          <a:solidFill>
            <a:schemeClr val="bg1"/>
          </a:solid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6404191"/>
        <c:crosses val="autoZero"/>
        <c:crossBetween val="between"/>
      </c:valAx>
      <c:valAx>
        <c:axId val="15474604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47454735"/>
        <c:crosses val="max"/>
        <c:crossBetween val="between"/>
      </c:valAx>
      <c:catAx>
        <c:axId val="1547454735"/>
        <c:scaling>
          <c:orientation val="minMax"/>
        </c:scaling>
        <c:delete val="1"/>
        <c:axPos val="b"/>
        <c:numFmt formatCode="General" sourceLinked="1"/>
        <c:majorTickMark val="out"/>
        <c:minorTickMark val="none"/>
        <c:tickLblPos val="nextTo"/>
        <c:crossAx val="15474604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EBITDA</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&amp;</a:t>
            </a:r>
            <a:r>
              <a:rPr lang="en-US" sz="100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EBITDA</a:t>
            </a:r>
            <a:r>
              <a:rPr lang="en-US" sz="105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MARGIN</a:t>
            </a:r>
            <a:r>
              <a:rPr lang="en-US" sz="1000" baseline="0">
                <a:solidFill>
                  <a:srgbClr val="002060"/>
                </a:solidFill>
                <a:latin typeface="Arial" panose="020B0604020202020204" pitchFamily="34" charset="0"/>
                <a:cs typeface="Arial" panose="020B0604020202020204" pitchFamily="34" charset="0"/>
              </a:rPr>
              <a:t> </a:t>
            </a:r>
            <a:r>
              <a:rPr lang="en-US" sz="900" baseline="0">
                <a:solidFill>
                  <a:srgbClr val="002060"/>
                </a:solidFill>
                <a:latin typeface="Arial" panose="020B0604020202020204" pitchFamily="34" charset="0"/>
                <a:cs typeface="Arial" panose="020B0604020202020204" pitchFamily="34" charset="0"/>
              </a:rPr>
              <a:t>(%)</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7.5678040244969377E-4"/>
          <c:y val="0"/>
        </c:manualLayout>
      </c:layout>
      <c:overlay val="0"/>
      <c:spPr>
        <a:noFill/>
        <a:ln>
          <a:noFill/>
        </a:ln>
        <a:effectLst/>
      </c:spPr>
    </c:title>
    <c:autoTitleDeleted val="0"/>
    <c:plotArea>
      <c:layout/>
      <c:barChart>
        <c:barDir val="col"/>
        <c:grouping val="clustered"/>
        <c:varyColors val="0"/>
        <c:ser>
          <c:idx val="6"/>
          <c:order val="0"/>
          <c:tx>
            <c:strRef>
              <c:f>data!$A$3</c:f>
              <c:strCache>
                <c:ptCount val="1"/>
                <c:pt idx="0">
                  <c:v>Total 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0-F606-4614-A273-377BE870D087}"/>
            </c:ext>
          </c:extLst>
        </c:ser>
        <c:ser>
          <c:idx val="7"/>
          <c:order val="1"/>
          <c:tx>
            <c:strRef>
              <c:f>data!$A$4</c:f>
              <c:strCache>
                <c:ptCount val="1"/>
                <c:pt idx="0">
                  <c:v>EBITDA</c:v>
                </c:pt>
              </c:strCache>
            </c:strRef>
          </c:tx>
          <c:spPr>
            <a:solidFill>
              <a:srgbClr val="00206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1-F606-4614-A273-377BE870D087}"/>
            </c:ext>
          </c:extLst>
        </c:ser>
        <c:ser>
          <c:idx val="8"/>
          <c:order val="2"/>
          <c:tx>
            <c:strRef>
              <c:f>data!$A$5</c:f>
              <c:strCache>
                <c:ptCount val="1"/>
                <c:pt idx="0">
                  <c:v>EBITDA Margin</c:v>
                </c:pt>
              </c:strCache>
            </c:strRef>
          </c:tx>
          <c:spPr>
            <a:ln>
              <a:solidFill>
                <a:srgbClr val="75A3FF"/>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02-F606-4614-A273-377BE870D087}"/>
            </c:ext>
          </c:extLst>
        </c:ser>
        <c:ser>
          <c:idx val="9"/>
          <c:order val="3"/>
          <c:tx>
            <c:strRef>
              <c:f>data!$A$3</c:f>
              <c:strCache>
                <c:ptCount val="1"/>
                <c:pt idx="0">
                  <c:v>Total Revenue</c:v>
                </c:pt>
              </c:strCache>
            </c:strRef>
          </c:tx>
          <c:spPr>
            <a:solidFill>
              <a:schemeClr val="accent1"/>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3-F606-4614-A273-377BE870D087}"/>
            </c:ext>
          </c:extLst>
        </c:ser>
        <c:ser>
          <c:idx val="10"/>
          <c:order val="4"/>
          <c:tx>
            <c:strRef>
              <c:f>data!$A$4</c:f>
              <c:strCache>
                <c:ptCount val="1"/>
                <c:pt idx="0">
                  <c:v>EBITDA</c:v>
                </c:pt>
              </c:strCache>
            </c:strRef>
          </c:tx>
          <c:spPr>
            <a:solidFill>
              <a:srgbClr val="002060"/>
            </a:solidFill>
            <a:ln>
              <a:noFill/>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4-F606-4614-A273-377BE870D087}"/>
            </c:ext>
          </c:extLst>
        </c:ser>
        <c:ser>
          <c:idx val="11"/>
          <c:order val="5"/>
          <c:tx>
            <c:strRef>
              <c:f>data!$A$5</c:f>
              <c:strCache>
                <c:ptCount val="1"/>
                <c:pt idx="0">
                  <c:v>EBITDA Margin</c:v>
                </c:pt>
              </c:strCache>
            </c:strRef>
          </c:tx>
          <c:spPr>
            <a:ln w="28575" cap="rnd">
              <a:solidFill>
                <a:srgbClr val="75A3FF"/>
              </a:solidFill>
              <a:round/>
            </a:ln>
            <a:effectLst/>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05-F606-4614-A273-377BE870D087}"/>
            </c:ext>
          </c:extLst>
        </c:ser>
        <c:ser>
          <c:idx val="3"/>
          <c:order val="6"/>
          <c:tx>
            <c:strRef>
              <c:f>data!$A$3</c:f>
              <c:strCache>
                <c:ptCount val="1"/>
                <c:pt idx="0">
                  <c:v>Total Revenue</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6-F606-4614-A273-377BE870D087}"/>
            </c:ext>
          </c:extLst>
        </c:ser>
        <c:ser>
          <c:idx val="4"/>
          <c:order val="7"/>
          <c:tx>
            <c:strRef>
              <c:f>data!$A$4</c:f>
              <c:strCache>
                <c:ptCount val="1"/>
                <c:pt idx="0">
                  <c:v>EBITDA</c:v>
                </c:pt>
              </c:strCache>
            </c:strRef>
          </c:tx>
          <c:spPr>
            <a:solidFill>
              <a:srgbClr val="00206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7-F606-4614-A273-377BE870D087}"/>
            </c:ext>
          </c:extLst>
        </c:ser>
        <c:ser>
          <c:idx val="5"/>
          <c:order val="8"/>
          <c:tx>
            <c:strRef>
              <c:f>data!$A$5</c:f>
              <c:strCache>
                <c:ptCount val="1"/>
                <c:pt idx="0">
                  <c:v>EBITDA Margin</c:v>
                </c:pt>
              </c:strCache>
            </c:strRef>
          </c:tx>
          <c:spPr>
            <a:ln>
              <a:solidFill>
                <a:srgbClr val="75A3FF"/>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08-F606-4614-A273-377BE870D087}"/>
            </c:ext>
          </c:extLst>
        </c:ser>
        <c:ser>
          <c:idx val="0"/>
          <c:order val="9"/>
          <c:tx>
            <c:strRef>
              <c:f>data!$A$3</c:f>
              <c:strCache>
                <c:ptCount val="1"/>
                <c:pt idx="0">
                  <c:v>Total Revenue</c:v>
                </c:pt>
              </c:strCache>
              <c:extLst xmlns:c15="http://schemas.microsoft.com/office/drawing/2012/chart"/>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extLst xmlns:c15="http://schemas.microsoft.com/office/drawing/2012/chart"/>
            </c:strRef>
          </c:cat>
          <c:val>
            <c:numRef>
              <c:f>data!$B$3:$J$3</c:f>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extLst xmlns:c15="http://schemas.microsoft.com/office/drawing/2012/chart"/>
            </c:numRef>
          </c:val>
          <c:extLst>
            <c:ext xmlns:c16="http://schemas.microsoft.com/office/drawing/2014/chart" uri="{C3380CC4-5D6E-409C-BE32-E72D297353CC}">
              <c16:uniqueId val="{00000009-F606-4614-A273-377BE870D087}"/>
            </c:ext>
          </c:extLst>
        </c:ser>
        <c:ser>
          <c:idx val="1"/>
          <c:order val="10"/>
          <c:tx>
            <c:strRef>
              <c:f>data!$A$4</c:f>
              <c:strCache>
                <c:ptCount val="1"/>
                <c:pt idx="0">
                  <c:v>EBITDA</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A-F606-4614-A273-377BE870D087}"/>
            </c:ext>
          </c:extLst>
        </c:ser>
        <c:dLbls>
          <c:showLegendKey val="0"/>
          <c:showVal val="1"/>
          <c:showCatName val="0"/>
          <c:showSerName val="0"/>
          <c:showPercent val="0"/>
          <c:showBubbleSize val="0"/>
        </c:dLbls>
        <c:gapWidth val="150"/>
        <c:axId val="1586404191"/>
        <c:axId val="1586396991"/>
        <c:extLst/>
      </c:barChart>
      <c:lineChart>
        <c:grouping val="standard"/>
        <c:varyColors val="0"/>
        <c:ser>
          <c:idx val="2"/>
          <c:order val="11"/>
          <c:tx>
            <c:strRef>
              <c:f>data!$A$5</c:f>
              <c:strCache>
                <c:ptCount val="1"/>
                <c:pt idx="0">
                  <c:v>EBITDA Margin</c:v>
                </c:pt>
              </c:strCache>
            </c:strRef>
          </c:tx>
          <c:spPr>
            <a:ln w="28575" cap="rnd">
              <a:solidFill>
                <a:srgbClr val="75A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smooth val="0"/>
          <c:extLst>
            <c:ext xmlns:c16="http://schemas.microsoft.com/office/drawing/2014/chart" uri="{C3380CC4-5D6E-409C-BE32-E72D297353CC}">
              <c16:uniqueId val="{0000000B-F606-4614-A273-377BE870D087}"/>
            </c:ext>
          </c:extLst>
        </c:ser>
        <c:dLbls>
          <c:showLegendKey val="0"/>
          <c:showVal val="1"/>
          <c:showCatName val="0"/>
          <c:showSerName val="0"/>
          <c:showPercent val="0"/>
          <c:showBubbleSize val="0"/>
        </c:dLbls>
        <c:marker val="1"/>
        <c:smooth val="0"/>
        <c:axId val="1547454735"/>
        <c:axId val="1547460495"/>
      </c:lineChart>
      <c:catAx>
        <c:axId val="1586404191"/>
        <c:scaling>
          <c:orientation val="minMax"/>
        </c:scaling>
        <c:delete val="0"/>
        <c:axPos val="b"/>
        <c:numFmt formatCode="General" sourceLinked="1"/>
        <c:majorTickMark val="none"/>
        <c:minorTickMark val="none"/>
        <c:tickLblPos val="nextTo"/>
        <c:spPr>
          <a:no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min val="0"/>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04191"/>
        <c:crosses val="autoZero"/>
        <c:crossBetween val="between"/>
      </c:valAx>
      <c:valAx>
        <c:axId val="15474604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54735"/>
        <c:crosses val="max"/>
        <c:crossBetween val="between"/>
      </c:valAx>
      <c:catAx>
        <c:axId val="1547454735"/>
        <c:scaling>
          <c:orientation val="minMax"/>
        </c:scaling>
        <c:delete val="1"/>
        <c:axPos val="b"/>
        <c:numFmt formatCode="General" sourceLinked="1"/>
        <c:majorTickMark val="out"/>
        <c:minorTickMark val="none"/>
        <c:tickLblPos val="nextTo"/>
        <c:crossAx val="154746049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28575" cap="flat" cmpd="sng" algn="ctr">
      <a:solidFill>
        <a:sysClr val="window" lastClr="FFFFFF">
          <a:lumMod val="75000"/>
        </a:sysClr>
      </a:solidFill>
      <a:round/>
    </a:ln>
    <a:effectLst/>
  </c:spPr>
  <c:txPr>
    <a:bodyPr/>
    <a:lstStyle/>
    <a:p>
      <a:pPr>
        <a:defRPr/>
      </a:pPr>
      <a:endParaRPr lang="en-US"/>
    </a:p>
  </c:txPr>
  <c:printSettings>
    <c:headerFooter/>
    <c:pageMargins b="0.75" l="0.7" r="0.7" t="0.75" header="0.3" footer="0.3"/>
    <c:pageSetup/>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EBITDA</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&amp;</a:t>
            </a:r>
            <a:r>
              <a:rPr lang="en-US" sz="100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EBITDA</a:t>
            </a:r>
            <a:r>
              <a:rPr lang="en-US" sz="105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MARGIN</a:t>
            </a:r>
            <a:r>
              <a:rPr lang="en-US" sz="1000" baseline="0">
                <a:solidFill>
                  <a:srgbClr val="002060"/>
                </a:solidFill>
                <a:latin typeface="Arial" panose="020B0604020202020204" pitchFamily="34" charset="0"/>
                <a:cs typeface="Arial" panose="020B0604020202020204" pitchFamily="34" charset="0"/>
              </a:rPr>
              <a:t> </a:t>
            </a:r>
            <a:r>
              <a:rPr lang="en-US" sz="900" baseline="0">
                <a:solidFill>
                  <a:srgbClr val="002060"/>
                </a:solidFill>
                <a:latin typeface="Arial" panose="020B0604020202020204" pitchFamily="34" charset="0"/>
                <a:cs typeface="Arial" panose="020B0604020202020204" pitchFamily="34" charset="0"/>
              </a:rPr>
              <a:t>(%)</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7.5678040244969377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data!$A$4</c:f>
              <c:strCache>
                <c:ptCount val="1"/>
                <c:pt idx="0">
                  <c:v>EBITDA</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0-E594-4702-BC27-8A92D9FE2CA4}"/>
            </c:ext>
          </c:extLst>
        </c:ser>
        <c:dLbls>
          <c:showLegendKey val="0"/>
          <c:showVal val="1"/>
          <c:showCatName val="0"/>
          <c:showSerName val="0"/>
          <c:showPercent val="0"/>
          <c:showBubbleSize val="0"/>
        </c:dLbls>
        <c:gapWidth val="150"/>
        <c:axId val="1586404191"/>
        <c:axId val="1586396991"/>
        <c:extLst>
          <c:ext xmlns:c15="http://schemas.microsoft.com/office/drawing/2012/chart" uri="{02D57815-91ED-43cb-92C2-25804820EDAC}">
            <c15:filteredBarSeries>
              <c15:ser>
                <c:idx val="0"/>
                <c:order val="0"/>
                <c:tx>
                  <c:strRef>
                    <c:extLst>
                      <c:ext uri="{02D57815-91ED-43cb-92C2-25804820EDAC}">
                        <c15:formulaRef>
                          <c15:sqref>data!$A$3</c15:sqref>
                        </c15:formulaRef>
                      </c:ext>
                    </c:extLst>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uri="{02D57815-91ED-43cb-92C2-25804820EDAC}">
                        <c15:formulaRef>
                          <c15:sqref>data!$B$3:$J$3</c15:sqref>
                        </c15:formulaRef>
                      </c:ext>
                    </c:extLst>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2-E594-4702-BC27-8A92D9FE2CA4}"/>
                  </c:ext>
                </c:extLst>
              </c15:ser>
            </c15:filteredBarSeries>
          </c:ext>
        </c:extLst>
      </c:barChart>
      <c:lineChart>
        <c:grouping val="standard"/>
        <c:varyColors val="0"/>
        <c:ser>
          <c:idx val="2"/>
          <c:order val="2"/>
          <c:tx>
            <c:strRef>
              <c:f>data!$A$5</c:f>
              <c:strCache>
                <c:ptCount val="1"/>
                <c:pt idx="0">
                  <c:v>EBITDA Margin</c:v>
                </c:pt>
              </c:strCache>
            </c:strRef>
          </c:tx>
          <c:spPr>
            <a:ln w="28575" cap="rnd">
              <a:solidFill>
                <a:srgbClr val="75A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smooth val="0"/>
          <c:extLst>
            <c:ext xmlns:c16="http://schemas.microsoft.com/office/drawing/2014/chart" uri="{C3380CC4-5D6E-409C-BE32-E72D297353CC}">
              <c16:uniqueId val="{00000001-E594-4702-BC27-8A92D9FE2CA4}"/>
            </c:ext>
          </c:extLst>
        </c:ser>
        <c:dLbls>
          <c:showLegendKey val="0"/>
          <c:showVal val="1"/>
          <c:showCatName val="0"/>
          <c:showSerName val="0"/>
          <c:showPercent val="0"/>
          <c:showBubbleSize val="0"/>
        </c:dLbls>
        <c:marker val="1"/>
        <c:smooth val="0"/>
        <c:axId val="1547454735"/>
        <c:axId val="1547460495"/>
      </c:lineChart>
      <c:catAx>
        <c:axId val="1586404191"/>
        <c:scaling>
          <c:orientation val="minMax"/>
        </c:scaling>
        <c:delete val="0"/>
        <c:axPos val="b"/>
        <c:numFmt formatCode="General" sourceLinked="1"/>
        <c:majorTickMark val="none"/>
        <c:minorTickMark val="none"/>
        <c:tickLblPos val="nextTo"/>
        <c:spPr>
          <a:no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min val="0"/>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04191"/>
        <c:crosses val="autoZero"/>
        <c:crossBetween val="between"/>
      </c:valAx>
      <c:valAx>
        <c:axId val="15474604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54735"/>
        <c:crosses val="max"/>
        <c:crossBetween val="between"/>
      </c:valAx>
      <c:catAx>
        <c:axId val="1547454735"/>
        <c:scaling>
          <c:orientation val="minMax"/>
        </c:scaling>
        <c:delete val="1"/>
        <c:axPos val="b"/>
        <c:numFmt formatCode="General" sourceLinked="1"/>
        <c:majorTickMark val="out"/>
        <c:minorTickMark val="none"/>
        <c:tickLblPos val="nextTo"/>
        <c:crossAx val="15474604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EBITDA</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&amp;</a:t>
            </a:r>
            <a:r>
              <a:rPr lang="en-US" sz="100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EBITDA</a:t>
            </a:r>
            <a:r>
              <a:rPr lang="en-US" sz="1050">
                <a:solidFill>
                  <a:srgbClr val="002060"/>
                </a:solidFill>
                <a:latin typeface="Arial" panose="020B0604020202020204" pitchFamily="34" charset="0"/>
                <a:cs typeface="Arial" panose="020B0604020202020204" pitchFamily="34" charset="0"/>
              </a:rPr>
              <a:t> </a:t>
            </a:r>
            <a:r>
              <a:rPr lang="en-US" sz="1050" b="1">
                <a:solidFill>
                  <a:srgbClr val="002060"/>
                </a:solidFill>
                <a:latin typeface="Arial" panose="020B0604020202020204" pitchFamily="34" charset="0"/>
                <a:cs typeface="Arial" panose="020B0604020202020204" pitchFamily="34" charset="0"/>
              </a:rPr>
              <a:t>MARGIN</a:t>
            </a:r>
            <a:r>
              <a:rPr lang="en-US" sz="1000" baseline="0">
                <a:solidFill>
                  <a:srgbClr val="002060"/>
                </a:solidFill>
                <a:latin typeface="Arial" panose="020B0604020202020204" pitchFamily="34" charset="0"/>
                <a:cs typeface="Arial" panose="020B0604020202020204" pitchFamily="34" charset="0"/>
              </a:rPr>
              <a:t> </a:t>
            </a:r>
            <a:r>
              <a:rPr lang="en-US" sz="900" baseline="0">
                <a:solidFill>
                  <a:srgbClr val="002060"/>
                </a:solidFill>
                <a:latin typeface="Arial" panose="020B0604020202020204" pitchFamily="34" charset="0"/>
                <a:cs typeface="Arial" panose="020B0604020202020204" pitchFamily="34" charset="0"/>
              </a:rPr>
              <a:t>(%)</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7.5678040244969377E-4"/>
          <c:y val="0"/>
        </c:manualLayout>
      </c:layout>
      <c:overlay val="0"/>
      <c:spPr>
        <a:noFill/>
        <a:ln>
          <a:noFill/>
        </a:ln>
        <a:effectLst/>
      </c:spPr>
    </c:title>
    <c:autoTitleDeleted val="0"/>
    <c:plotArea>
      <c:layout/>
      <c:barChart>
        <c:barDir val="col"/>
        <c:grouping val="clustered"/>
        <c:varyColors val="0"/>
        <c:ser>
          <c:idx val="1"/>
          <c:order val="1"/>
          <c:tx>
            <c:strRef>
              <c:f>data!$A$4</c:f>
              <c:strCache>
                <c:ptCount val="1"/>
                <c:pt idx="0">
                  <c:v>EBITDA</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data!$B$4:$J$4</c:f>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0-F415-476D-88A9-B4B9018D55E4}"/>
            </c:ext>
          </c:extLst>
        </c:ser>
        <c:dLbls>
          <c:showLegendKey val="0"/>
          <c:showVal val="1"/>
          <c:showCatName val="0"/>
          <c:showSerName val="0"/>
          <c:showPercent val="0"/>
          <c:showBubbleSize val="0"/>
        </c:dLbls>
        <c:gapWidth val="150"/>
        <c:axId val="1586404191"/>
        <c:axId val="1586396991"/>
        <c:extLst>
          <c:ext xmlns:c15="http://schemas.microsoft.com/office/drawing/2012/chart" uri="{02D57815-91ED-43cb-92C2-25804820EDAC}">
            <c15:filteredBarSeries>
              <c15:ser>
                <c:idx val="0"/>
                <c:order val="0"/>
                <c:tx>
                  <c:strRef>
                    <c:extLst>
                      <c:ext uri="{02D57815-91ED-43cb-92C2-25804820EDAC}">
                        <c15:formulaRef>
                          <c15:sqref>data!$A$3</c15:sqref>
                        </c15:formulaRef>
                      </c:ext>
                    </c:extLst>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uri="{02D57815-91ED-43cb-92C2-25804820EDAC}">
                        <c15:formulaRef>
                          <c15:sqref>data!$B$3:$J$3</c15:sqref>
                        </c15:formulaRef>
                      </c:ext>
                    </c:extLst>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2-F415-476D-88A9-B4B9018D55E4}"/>
                  </c:ext>
                </c:extLst>
              </c15:ser>
            </c15:filteredBarSeries>
          </c:ext>
        </c:extLst>
      </c:barChart>
      <c:lineChart>
        <c:grouping val="standard"/>
        <c:varyColors val="0"/>
        <c:ser>
          <c:idx val="2"/>
          <c:order val="2"/>
          <c:tx>
            <c:strRef>
              <c:f>data!$A$5</c:f>
              <c:strCache>
                <c:ptCount val="1"/>
                <c:pt idx="0">
                  <c:v>EBITDA Margin</c:v>
                </c:pt>
              </c:strCache>
            </c:strRef>
          </c:tx>
          <c:spPr>
            <a:ln w="28575" cap="rnd">
              <a:solidFill>
                <a:srgbClr val="75A3FF"/>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data!$B$5:$J$5</c:f>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smooth val="0"/>
          <c:extLst>
            <c:ext xmlns:c16="http://schemas.microsoft.com/office/drawing/2014/chart" uri="{C3380CC4-5D6E-409C-BE32-E72D297353CC}">
              <c16:uniqueId val="{00000001-F415-476D-88A9-B4B9018D55E4}"/>
            </c:ext>
          </c:extLst>
        </c:ser>
        <c:dLbls>
          <c:showLegendKey val="0"/>
          <c:showVal val="1"/>
          <c:showCatName val="0"/>
          <c:showSerName val="0"/>
          <c:showPercent val="0"/>
          <c:showBubbleSize val="0"/>
        </c:dLbls>
        <c:marker val="1"/>
        <c:smooth val="0"/>
        <c:axId val="1547454735"/>
        <c:axId val="1547460495"/>
      </c:lineChart>
      <c:catAx>
        <c:axId val="1586404191"/>
        <c:scaling>
          <c:orientation val="minMax"/>
        </c:scaling>
        <c:delete val="0"/>
        <c:axPos val="b"/>
        <c:numFmt formatCode="General" sourceLinked="1"/>
        <c:majorTickMark val="none"/>
        <c:minorTickMark val="none"/>
        <c:tickLblPos val="nextTo"/>
        <c:spPr>
          <a:no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min val="0"/>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404191"/>
        <c:crosses val="autoZero"/>
        <c:crossBetween val="between"/>
      </c:valAx>
      <c:valAx>
        <c:axId val="15474604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454735"/>
        <c:crosses val="max"/>
        <c:crossBetween val="between"/>
      </c:valAx>
      <c:catAx>
        <c:axId val="1547454735"/>
        <c:scaling>
          <c:orientation val="minMax"/>
        </c:scaling>
        <c:delete val="1"/>
        <c:axPos val="b"/>
        <c:numFmt formatCode="General" sourceLinked="1"/>
        <c:majorTickMark val="out"/>
        <c:minorTickMark val="none"/>
        <c:tickLblPos val="nextTo"/>
        <c:crossAx val="154746049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rgbClr val="002060"/>
                </a:solidFill>
                <a:latin typeface="Arial" panose="020B0604020202020204" pitchFamily="34" charset="0"/>
                <a:cs typeface="Arial" panose="020B0604020202020204" pitchFamily="34" charset="0"/>
              </a:rPr>
              <a:t>FREE CASH FLOW</a:t>
            </a:r>
            <a:r>
              <a:rPr lang="en-US" sz="1000">
                <a:solidFill>
                  <a:srgbClr val="002060"/>
                </a:solidFill>
                <a:latin typeface="Arial" panose="020B0604020202020204" pitchFamily="34" charset="0"/>
                <a:cs typeface="Arial" panose="020B0604020202020204" pitchFamily="34" charset="0"/>
              </a:rPr>
              <a:t> </a:t>
            </a:r>
            <a:r>
              <a:rPr lang="en-US" sz="900">
                <a:solidFill>
                  <a:srgbClr val="002060"/>
                </a:solidFill>
                <a:latin typeface="Arial" panose="020B0604020202020204" pitchFamily="34" charset="0"/>
                <a:cs typeface="Arial" panose="020B0604020202020204" pitchFamily="34" charset="0"/>
              </a:rPr>
              <a:t>(USA thousand) </a:t>
            </a:r>
            <a:endParaRPr lang="en-US" sz="1000">
              <a:solidFill>
                <a:srgbClr val="002060"/>
              </a:solidFill>
              <a:latin typeface="Arial" panose="020B0604020202020204" pitchFamily="34" charset="0"/>
              <a:cs typeface="Arial" panose="020B0604020202020204" pitchFamily="34" charset="0"/>
            </a:endParaRPr>
          </a:p>
        </c:rich>
      </c:tx>
      <c:layout>
        <c:manualLayout>
          <c:xMode val="edge"/>
          <c:yMode val="edge"/>
          <c:x val="0"/>
          <c:y val="0"/>
        </c:manualLayout>
      </c:layout>
      <c:overlay val="0"/>
      <c:spPr>
        <a:noFill/>
        <a:ln>
          <a:noFill/>
        </a:ln>
        <a:effectLst/>
      </c:spPr>
    </c:title>
    <c:autoTitleDeleted val="0"/>
    <c:plotArea>
      <c:layout/>
      <c:barChart>
        <c:barDir val="col"/>
        <c:grouping val="clustered"/>
        <c:varyColors val="0"/>
        <c:ser>
          <c:idx val="3"/>
          <c:order val="3"/>
          <c:tx>
            <c:strRef>
              <c:f>data!$A$6</c:f>
              <c:strCache>
                <c:ptCount val="1"/>
                <c:pt idx="0">
                  <c:v>FCF</c:v>
                </c:pt>
              </c:strCache>
            </c:strRef>
          </c:tx>
          <c:invertIfNegative val="0"/>
          <c:dPt>
            <c:idx val="0"/>
            <c:invertIfNegative val="0"/>
            <c:bubble3D val="0"/>
            <c:spPr>
              <a:solidFill>
                <a:srgbClr val="002060"/>
              </a:solidFill>
            </c:spPr>
            <c:extLst>
              <c:ext xmlns:c16="http://schemas.microsoft.com/office/drawing/2014/chart" uri="{C3380CC4-5D6E-409C-BE32-E72D297353CC}">
                <c16:uniqueId val="{00000009-F3C5-40C6-A9A5-744F73970B61}"/>
              </c:ext>
            </c:extLst>
          </c:dPt>
          <c:dPt>
            <c:idx val="1"/>
            <c:invertIfNegative val="0"/>
            <c:bubble3D val="0"/>
            <c:spPr>
              <a:solidFill>
                <a:srgbClr val="002060"/>
              </a:solidFill>
            </c:spPr>
            <c:extLst>
              <c:ext xmlns:c16="http://schemas.microsoft.com/office/drawing/2014/chart" uri="{C3380CC4-5D6E-409C-BE32-E72D297353CC}">
                <c16:uniqueId val="{0000000A-F3C5-40C6-A9A5-744F73970B61}"/>
              </c:ext>
            </c:extLst>
          </c:dPt>
          <c:dPt>
            <c:idx val="2"/>
            <c:invertIfNegative val="0"/>
            <c:bubble3D val="0"/>
            <c:spPr>
              <a:solidFill>
                <a:srgbClr val="002060"/>
              </a:solidFill>
            </c:spPr>
            <c:extLst>
              <c:ext xmlns:c16="http://schemas.microsoft.com/office/drawing/2014/chart" uri="{C3380CC4-5D6E-409C-BE32-E72D297353CC}">
                <c16:uniqueId val="{0000000C-F3C5-40C6-A9A5-744F73970B61}"/>
              </c:ext>
            </c:extLst>
          </c:dPt>
          <c:dPt>
            <c:idx val="3"/>
            <c:invertIfNegative val="0"/>
            <c:bubble3D val="0"/>
            <c:spPr>
              <a:solidFill>
                <a:srgbClr val="002060"/>
              </a:solidFill>
            </c:spPr>
            <c:extLst>
              <c:ext xmlns:c16="http://schemas.microsoft.com/office/drawing/2014/chart" uri="{C3380CC4-5D6E-409C-BE32-E72D297353CC}">
                <c16:uniqueId val="{0000000B-F3C5-40C6-A9A5-744F73970B61}"/>
              </c:ext>
            </c:extLst>
          </c:dPt>
          <c:dPt>
            <c:idx val="4"/>
            <c:invertIfNegative val="0"/>
            <c:bubble3D val="0"/>
            <c:spPr>
              <a:solidFill>
                <a:srgbClr val="AFCAFF"/>
              </a:solidFill>
            </c:spPr>
            <c:extLst>
              <c:ext xmlns:c16="http://schemas.microsoft.com/office/drawing/2014/chart" uri="{C3380CC4-5D6E-409C-BE32-E72D297353CC}">
                <c16:uniqueId val="{00000004-F3C5-40C6-A9A5-744F73970B61}"/>
              </c:ext>
            </c:extLst>
          </c:dPt>
          <c:dPt>
            <c:idx val="5"/>
            <c:invertIfNegative val="0"/>
            <c:bubble3D val="0"/>
            <c:spPr>
              <a:solidFill>
                <a:srgbClr val="AFCAFF"/>
              </a:solidFill>
            </c:spPr>
            <c:extLst>
              <c:ext xmlns:c16="http://schemas.microsoft.com/office/drawing/2014/chart" uri="{C3380CC4-5D6E-409C-BE32-E72D297353CC}">
                <c16:uniqueId val="{00000005-F3C5-40C6-A9A5-744F73970B61}"/>
              </c:ext>
            </c:extLst>
          </c:dPt>
          <c:dPt>
            <c:idx val="6"/>
            <c:invertIfNegative val="0"/>
            <c:bubble3D val="0"/>
            <c:spPr>
              <a:solidFill>
                <a:srgbClr val="AFCAFF"/>
              </a:solidFill>
            </c:spPr>
            <c:extLst>
              <c:ext xmlns:c16="http://schemas.microsoft.com/office/drawing/2014/chart" uri="{C3380CC4-5D6E-409C-BE32-E72D297353CC}">
                <c16:uniqueId val="{00000006-F3C5-40C6-A9A5-744F73970B61}"/>
              </c:ext>
            </c:extLst>
          </c:dPt>
          <c:dPt>
            <c:idx val="7"/>
            <c:invertIfNegative val="0"/>
            <c:bubble3D val="0"/>
            <c:spPr>
              <a:solidFill>
                <a:srgbClr val="AFCAFF"/>
              </a:solidFill>
            </c:spPr>
            <c:extLst>
              <c:ext xmlns:c16="http://schemas.microsoft.com/office/drawing/2014/chart" uri="{C3380CC4-5D6E-409C-BE32-E72D297353CC}">
                <c16:uniqueId val="{00000007-F3C5-40C6-A9A5-744F73970B61}"/>
              </c:ext>
            </c:extLst>
          </c:dPt>
          <c:dPt>
            <c:idx val="8"/>
            <c:invertIfNegative val="0"/>
            <c:bubble3D val="0"/>
            <c:spPr>
              <a:solidFill>
                <a:srgbClr val="AFCAFF"/>
              </a:solidFill>
            </c:spPr>
            <c:extLst>
              <c:ext xmlns:c16="http://schemas.microsoft.com/office/drawing/2014/chart" uri="{C3380CC4-5D6E-409C-BE32-E72D297353CC}">
                <c16:uniqueId val="{00000008-F3C5-40C6-A9A5-744F73970B61}"/>
              </c:ext>
            </c:extLst>
          </c:dPt>
          <c:dLbls>
            <c:dLbl>
              <c:idx val="0"/>
              <c:spPr>
                <a:noFill/>
                <a:ln>
                  <a:noFill/>
                </a:ln>
                <a:effectLst/>
              </c:spPr>
              <c:txPr>
                <a:bodyPr wrap="square" lIns="38100" tIns="19050" rIns="38100" bIns="19050" anchor="ctr">
                  <a:spAutoFit/>
                </a:bodyPr>
                <a:lstStyle/>
                <a:p>
                  <a:pPr>
                    <a:defRPr>
                      <a:solidFill>
                        <a:srgbClr val="FF0000"/>
                      </a:solidFill>
                      <a:latin typeface="Times New Roman" panose="02020603050405020304" pitchFamily="18" charset="0"/>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9-F3C5-40C6-A9A5-744F73970B61}"/>
                </c:ext>
              </c:extLst>
            </c:dLbl>
            <c:dLbl>
              <c:idx val="1"/>
              <c:spPr>
                <a:noFill/>
                <a:ln>
                  <a:noFill/>
                </a:ln>
                <a:effectLst/>
              </c:spPr>
              <c:txPr>
                <a:bodyPr wrap="square" lIns="38100" tIns="19050" rIns="38100" bIns="19050" anchor="ctr">
                  <a:spAutoFit/>
                </a:bodyPr>
                <a:lstStyle/>
                <a:p>
                  <a:pPr>
                    <a:defRPr>
                      <a:solidFill>
                        <a:srgbClr val="FF0000"/>
                      </a:solidFill>
                      <a:latin typeface="Times New Roman" panose="02020603050405020304" pitchFamily="18" charset="0"/>
                      <a:cs typeface="Times New Roman" panose="02020603050405020304" pitchFamily="18"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A-F3C5-40C6-A9A5-744F73970B61}"/>
                </c:ext>
              </c:extLst>
            </c:dLbl>
            <c:spPr>
              <a:noFill/>
              <a:ln>
                <a:noFill/>
              </a:ln>
              <a:effectLst/>
            </c:spPr>
            <c:txPr>
              <a:bodyPr wrap="square" lIns="38100" tIns="19050" rIns="38100" bIns="19050" anchor="ctr">
                <a:spAutoFit/>
              </a:bodyPr>
              <a:lstStyle/>
              <a:p>
                <a:pPr>
                  <a:defRPr>
                    <a:latin typeface="Times New Roman" panose="02020603050405020304" pitchFamily="18" charset="0"/>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data!$B$2:$J$2</c:f>
              <c:strCache>
                <c:ptCount val="9"/>
                <c:pt idx="0">
                  <c:v>2022A</c:v>
                </c:pt>
                <c:pt idx="1">
                  <c:v>2023A</c:v>
                </c:pt>
                <c:pt idx="2">
                  <c:v>2024A</c:v>
                </c:pt>
                <c:pt idx="3">
                  <c:v>2025A</c:v>
                </c:pt>
                <c:pt idx="4">
                  <c:v>2026E</c:v>
                </c:pt>
                <c:pt idx="5">
                  <c:v>2027E</c:v>
                </c:pt>
                <c:pt idx="6">
                  <c:v>2028E</c:v>
                </c:pt>
                <c:pt idx="7">
                  <c:v>2029E</c:v>
                </c:pt>
                <c:pt idx="8">
                  <c:v>2030E</c:v>
                </c:pt>
              </c:strCache>
            </c:strRef>
          </c:cat>
          <c:val>
            <c:numRef>
              <c:f>data!$B$6:$J$6</c:f>
              <c:numCache>
                <c:formatCode>_(* #,##0_);_(* \(#,##0\);_(* "-"??_);_(@_)</c:formatCode>
                <c:ptCount val="9"/>
                <c:pt idx="0">
                  <c:v>-352255</c:v>
                </c:pt>
                <c:pt idx="1">
                  <c:v>-248063</c:v>
                </c:pt>
                <c:pt idx="2">
                  <c:v>766267</c:v>
                </c:pt>
                <c:pt idx="3">
                  <c:v>1115616</c:v>
                </c:pt>
                <c:pt idx="4">
                  <c:v>1284345.3536095007</c:v>
                </c:pt>
                <c:pt idx="5">
                  <c:v>1380143.5409980542</c:v>
                </c:pt>
                <c:pt idx="6">
                  <c:v>1479583.1968638597</c:v>
                </c:pt>
                <c:pt idx="7">
                  <c:v>1577716.5120582534</c:v>
                </c:pt>
                <c:pt idx="8">
                  <c:v>1663843.9454424367</c:v>
                </c:pt>
              </c:numCache>
            </c:numRef>
          </c:val>
          <c:extLst>
            <c:ext xmlns:c16="http://schemas.microsoft.com/office/drawing/2014/chart" uri="{C3380CC4-5D6E-409C-BE32-E72D297353CC}">
              <c16:uniqueId val="{00000003-F3C5-40C6-A9A5-744F73970B61}"/>
            </c:ext>
          </c:extLst>
        </c:ser>
        <c:dLbls>
          <c:showLegendKey val="0"/>
          <c:showVal val="1"/>
          <c:showCatName val="0"/>
          <c:showSerName val="0"/>
          <c:showPercent val="0"/>
          <c:showBubbleSize val="0"/>
        </c:dLbls>
        <c:gapWidth val="150"/>
        <c:axId val="1586404191"/>
        <c:axId val="1586396991"/>
        <c:extLst>
          <c:ext xmlns:c15="http://schemas.microsoft.com/office/drawing/2012/chart" uri="{02D57815-91ED-43cb-92C2-25804820EDAC}">
            <c15:filteredBarSeries>
              <c15:ser>
                <c:idx val="0"/>
                <c:order val="0"/>
                <c:tx>
                  <c:strRef>
                    <c:extLst>
                      <c:ext uri="{02D57815-91ED-43cb-92C2-25804820EDAC}">
                        <c15:formulaRef>
                          <c15:sqref>data!$A$3</c15:sqref>
                        </c15:formulaRef>
                      </c:ext>
                    </c:extLst>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uri="{02D57815-91ED-43cb-92C2-25804820EDAC}">
                        <c15:formulaRef>
                          <c15:sqref>data!$B$3:$J$3</c15:sqref>
                        </c15:formulaRef>
                      </c:ext>
                    </c:extLst>
                    <c:numCache>
                      <c:formatCode>_(* #,##0_);_(* \(#,##0\);_(* "-"??_);_(@_)</c:formatCode>
                      <c:ptCount val="9"/>
                      <c:pt idx="0">
                        <c:v>4095135</c:v>
                      </c:pt>
                      <c:pt idx="1">
                        <c:v>4403589</c:v>
                      </c:pt>
                      <c:pt idx="2">
                        <c:v>5786016</c:v>
                      </c:pt>
                      <c:pt idx="3">
                        <c:v>6316261</c:v>
                      </c:pt>
                      <c:pt idx="4">
                        <c:v>6884724.4900000002</c:v>
                      </c:pt>
                      <c:pt idx="5">
                        <c:v>7469926.0716500003</c:v>
                      </c:pt>
                      <c:pt idx="6">
                        <c:v>8067520.1573820012</c:v>
                      </c:pt>
                      <c:pt idx="7">
                        <c:v>8672584.1691856515</c:v>
                      </c:pt>
                      <c:pt idx="8">
                        <c:v>9279665.0610286482</c:v>
                      </c:pt>
                    </c:numCache>
                  </c:numRef>
                </c:val>
                <c:extLst>
                  <c:ext xmlns:c16="http://schemas.microsoft.com/office/drawing/2014/chart" uri="{C3380CC4-5D6E-409C-BE32-E72D297353CC}">
                    <c16:uniqueId val="{00000002-F3C5-40C6-A9A5-744F73970B61}"/>
                  </c:ext>
                </c:extLst>
              </c15:ser>
            </c15:filteredBarSeries>
            <c15:filteredBarSeries>
              <c15:ser>
                <c:idx val="1"/>
                <c:order val="1"/>
                <c:tx>
                  <c:strRef>
                    <c:extLst>
                      <c:ext xmlns:c15="http://schemas.microsoft.com/office/drawing/2012/chart" uri="{02D57815-91ED-43cb-92C2-25804820EDAC}">
                        <c15:formulaRef>
                          <c15:sqref>data!$A$4</c15:sqref>
                        </c15:formulaRef>
                      </c:ext>
                    </c:extLst>
                    <c:strCache>
                      <c:ptCount val="1"/>
                      <c:pt idx="0">
                        <c:v>EBITDA</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xmlns:c15="http://schemas.microsoft.com/office/drawing/2012/chart" uri="{02D57815-91ED-43cb-92C2-25804820EDAC}">
                        <c15:formulaRef>
                          <c15:sqref>data!$B$4:$J$4</c15:sqref>
                        </c15:formulaRef>
                      </c:ext>
                    </c:extLst>
                    <c:numCache>
                      <c:formatCode>_(* #,##0_);_(* \(#,##0\);_(* "-"??_);_(@_)</c:formatCode>
                      <c:ptCount val="9"/>
                      <c:pt idx="0">
                        <c:v>-1404106</c:v>
                      </c:pt>
                      <c:pt idx="1">
                        <c:v>-188968</c:v>
                      </c:pt>
                      <c:pt idx="2">
                        <c:v>203163</c:v>
                      </c:pt>
                      <c:pt idx="3">
                        <c:v>102735</c:v>
                      </c:pt>
                      <c:pt idx="4">
                        <c:v>514977.39185200061</c:v>
                      </c:pt>
                      <c:pt idx="5">
                        <c:v>607304.98962514522</c:v>
                      </c:pt>
                      <c:pt idx="6">
                        <c:v>715589.03795978427</c:v>
                      </c:pt>
                      <c:pt idx="7">
                        <c:v>835169.855492578</c:v>
                      </c:pt>
                      <c:pt idx="8">
                        <c:v>955805.50128595112</c:v>
                      </c:pt>
                    </c:numCache>
                  </c:numRef>
                </c:val>
                <c:extLst>
                  <c:ext xmlns:c16="http://schemas.microsoft.com/office/drawing/2014/chart" uri="{C3380CC4-5D6E-409C-BE32-E72D297353CC}">
                    <c16:uniqueId val="{00000000-F3C5-40C6-A9A5-744F73970B61}"/>
                  </c:ext>
                </c:extLst>
              </c15:ser>
            </c15:filteredBarSeries>
            <c15:filteredBarSeries>
              <c15:ser>
                <c:idx val="2"/>
                <c:order val="2"/>
                <c:tx>
                  <c:strRef>
                    <c:extLst>
                      <c:ext xmlns:c15="http://schemas.microsoft.com/office/drawing/2012/chart" uri="{02D57815-91ED-43cb-92C2-25804820EDAC}">
                        <c15:formulaRef>
                          <c15:sqref>data!$A$5</c15:sqref>
                        </c15:formulaRef>
                      </c:ext>
                    </c:extLst>
                    <c:strCache>
                      <c:ptCount val="1"/>
                      <c:pt idx="0">
                        <c:v>EBITDA Margin</c:v>
                      </c:pt>
                    </c:strCache>
                  </c:strRef>
                </c:tx>
                <c:spPr>
                  <a:ln w="28575" cap="rnd">
                    <a:solidFill>
                      <a:srgbClr val="75A3FF"/>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ormulaRef>
                          <c15:sqref>data!$B$2:$J$2</c15:sqref>
                        </c15:formulaRef>
                      </c:ext>
                    </c:extLst>
                    <c:strCache>
                      <c:ptCount val="9"/>
                      <c:pt idx="0">
                        <c:v>2022A</c:v>
                      </c:pt>
                      <c:pt idx="1">
                        <c:v>2023A</c:v>
                      </c:pt>
                      <c:pt idx="2">
                        <c:v>2024A</c:v>
                      </c:pt>
                      <c:pt idx="3">
                        <c:v>2025A</c:v>
                      </c:pt>
                      <c:pt idx="4">
                        <c:v>2026E</c:v>
                      </c:pt>
                      <c:pt idx="5">
                        <c:v>2027E</c:v>
                      </c:pt>
                      <c:pt idx="6">
                        <c:v>2028E</c:v>
                      </c:pt>
                      <c:pt idx="7">
                        <c:v>2029E</c:v>
                      </c:pt>
                      <c:pt idx="8">
                        <c:v>2030E</c:v>
                      </c:pt>
                    </c:strCache>
                  </c:strRef>
                </c:cat>
                <c:val>
                  <c:numRef>
                    <c:extLst>
                      <c:ext xmlns:c15="http://schemas.microsoft.com/office/drawing/2012/chart" uri="{02D57815-91ED-43cb-92C2-25804820EDAC}">
                        <c15:formulaRef>
                          <c15:sqref>data!$B$5:$J$5</c15:sqref>
                        </c15:formulaRef>
                      </c:ext>
                    </c:extLst>
                    <c:numCache>
                      <c:formatCode>0.00%</c:formatCode>
                      <c:ptCount val="9"/>
                      <c:pt idx="0">
                        <c:v>-0.3428717246195791</c:v>
                      </c:pt>
                      <c:pt idx="1">
                        <c:v>-4.29122699688822E-2</c:v>
                      </c:pt>
                      <c:pt idx="2">
                        <c:v>3.511276152710259E-2</c:v>
                      </c:pt>
                      <c:pt idx="3">
                        <c:v>1.6265160670212962E-2</c:v>
                      </c:pt>
                      <c:pt idx="4">
                        <c:v>7.4800000000000089E-2</c:v>
                      </c:pt>
                      <c:pt idx="5">
                        <c:v>8.1300000000000025E-2</c:v>
                      </c:pt>
                      <c:pt idx="6">
                        <c:v>8.8700000000000098E-2</c:v>
                      </c:pt>
                      <c:pt idx="7">
                        <c:v>9.6299999999999969E-2</c:v>
                      </c:pt>
                      <c:pt idx="8">
                        <c:v>0.10300000000000004</c:v>
                      </c:pt>
                    </c:numCache>
                  </c:numRef>
                </c:val>
                <c:extLst>
                  <c:ext xmlns:c16="http://schemas.microsoft.com/office/drawing/2014/chart" uri="{C3380CC4-5D6E-409C-BE32-E72D297353CC}">
                    <c16:uniqueId val="{00000001-F3C5-40C6-A9A5-744F73970B61}"/>
                  </c:ext>
                </c:extLst>
              </c15:ser>
            </c15:filteredBarSeries>
          </c:ext>
        </c:extLst>
      </c:barChart>
      <c:catAx>
        <c:axId val="1586404191"/>
        <c:scaling>
          <c:orientation val="minMax"/>
        </c:scaling>
        <c:delete val="0"/>
        <c:axPos val="b"/>
        <c:numFmt formatCode="General" sourceLinked="1"/>
        <c:majorTickMark val="none"/>
        <c:minorTickMark val="none"/>
        <c:tickLblPos val="nextTo"/>
        <c:spPr>
          <a:solidFill>
            <a:schemeClr val="bg1"/>
          </a:solidFill>
          <a:ln w="19050" cap="flat" cmpd="sng" algn="ctr">
            <a:solidFill>
              <a:schemeClr val="tx1">
                <a:lumMod val="85000"/>
                <a:lumOff val="15000"/>
              </a:schemeClr>
            </a:solidFill>
            <a:round/>
            <a:tailEnd type="stealth"/>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86396991"/>
        <c:crosses val="autoZero"/>
        <c:auto val="1"/>
        <c:lblAlgn val="ctr"/>
        <c:lblOffset val="100"/>
        <c:noMultiLvlLbl val="0"/>
      </c:catAx>
      <c:valAx>
        <c:axId val="1586396991"/>
        <c:scaling>
          <c:orientation val="minMax"/>
        </c:scaling>
        <c:delete val="0"/>
        <c:axPos val="l"/>
        <c:numFmt formatCode="_(* #,##0_);_(* \(#,##0\);_(* &quot;-&quot;??_);_(@_)" sourceLinked="1"/>
        <c:majorTickMark val="none"/>
        <c:minorTickMark val="none"/>
        <c:tickLblPos val="nextTo"/>
        <c:spPr>
          <a:noFill/>
          <a:ln w="19050">
            <a:solidFill>
              <a:schemeClr val="tx1">
                <a:lumMod val="85000"/>
                <a:lumOff val="15000"/>
              </a:schemeClr>
            </a:solidFill>
            <a:tailEnd type="stealth"/>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6404191"/>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5"/>
          <c:order val="5"/>
          <c:tx>
            <c:strRef>
              <c:f>'HISTORICAL FINANCIALS'!$A$10</c:f>
              <c:strCache>
                <c:ptCount val="1"/>
                <c:pt idx="0">
                  <c:v>Gross Margin</c:v>
                </c:pt>
              </c:strCache>
            </c:strRef>
          </c:tx>
          <c:spPr>
            <a:ln w="28575" cap="rnd">
              <a:solidFill>
                <a:schemeClr val="accent2">
                  <a:tint val="50000"/>
                </a:schemeClr>
              </a:solidFill>
              <a:round/>
            </a:ln>
            <a:effectLst/>
          </c:spPr>
          <c:marker>
            <c:symbol val="circle"/>
            <c:size val="5"/>
            <c:spPr>
              <a:solidFill>
                <a:schemeClr val="accent2">
                  <a:tint val="50000"/>
                </a:schemeClr>
              </a:solidFill>
              <a:ln w="9525">
                <a:solidFill>
                  <a:schemeClr val="accent2">
                    <a:tint val="50000"/>
                  </a:schemeClr>
                </a:solidFill>
              </a:ln>
              <a:effectLst/>
            </c:spPr>
          </c:marker>
          <c:dPt>
            <c:idx val="0"/>
            <c:marker>
              <c:symbol val="circle"/>
              <c:size val="5"/>
              <c:spPr>
                <a:solidFill>
                  <a:schemeClr val="accent2">
                    <a:tint val="50000"/>
                  </a:schemeClr>
                </a:solidFill>
                <a:ln w="9525">
                  <a:solidFill>
                    <a:schemeClr val="accent2">
                      <a:tint val="50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7-A934-4E35-91E7-1D25DE146CAA}"/>
              </c:ext>
            </c:extLst>
          </c:dPt>
          <c:dPt>
            <c:idx val="1"/>
            <c:marker>
              <c:symbol val="circle"/>
              <c:size val="5"/>
              <c:spPr>
                <a:solidFill>
                  <a:schemeClr val="accent2">
                    <a:tint val="50000"/>
                  </a:schemeClr>
                </a:solidFill>
                <a:ln w="9525">
                  <a:solidFill>
                    <a:schemeClr val="accent2">
                      <a:tint val="50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A-A934-4E35-91E7-1D25DE146CAA}"/>
              </c:ext>
            </c:extLst>
          </c:dPt>
          <c:dPt>
            <c:idx val="2"/>
            <c:marker>
              <c:symbol val="circle"/>
              <c:size val="5"/>
              <c:spPr>
                <a:solidFill>
                  <a:schemeClr val="accent2">
                    <a:tint val="50000"/>
                  </a:schemeClr>
                </a:solidFill>
                <a:ln w="9525">
                  <a:solidFill>
                    <a:schemeClr val="accent2">
                      <a:tint val="50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8-A934-4E35-91E7-1D25DE146CAA}"/>
              </c:ext>
            </c:extLst>
          </c:dPt>
          <c:dPt>
            <c:idx val="3"/>
            <c:marker>
              <c:symbol val="circle"/>
              <c:size val="5"/>
              <c:spPr>
                <a:solidFill>
                  <a:schemeClr val="accent2">
                    <a:tint val="50000"/>
                  </a:schemeClr>
                </a:solidFill>
                <a:ln w="9525">
                  <a:solidFill>
                    <a:schemeClr val="accent2">
                      <a:tint val="50000"/>
                    </a:schemeClr>
                  </a:solidFill>
                </a:ln>
                <a:effectLst/>
              </c:spPr>
            </c:marker>
            <c:bubble3D val="0"/>
            <c:spPr>
              <a:ln w="28575" cap="rnd">
                <a:solidFill>
                  <a:schemeClr val="accent2"/>
                </a:solidFill>
                <a:round/>
              </a:ln>
              <a:effectLst/>
            </c:spPr>
            <c:extLst>
              <c:ext xmlns:c16="http://schemas.microsoft.com/office/drawing/2014/chart" uri="{C3380CC4-5D6E-409C-BE32-E72D297353CC}">
                <c16:uniqueId val="{00000009-A934-4E35-91E7-1D25DE146C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'HISTORICAL FINANCIALS'!$B$4:$Q$4</c15:sqref>
                  </c15:fullRef>
                </c:ext>
              </c:extLst>
              <c:f>('HISTORICAL FINANCIALS'!$D$4,'HISTORICAL FINANCIALS'!$F$4,'HISTORICAL FINANCIALS'!$J$4,'HISTORICAL FINANCIALS'!$N$4)</c:f>
              <c:strCache>
                <c:ptCount val="4"/>
              </c:strCache>
            </c:strRef>
          </c:cat>
          <c:val>
            <c:numRef>
              <c:extLst>
                <c:ext xmlns:c15="http://schemas.microsoft.com/office/drawing/2012/chart" uri="{02D57815-91ED-43cb-92C2-25804820EDAC}">
                  <c15:fullRef>
                    <c15:sqref>'HISTORICAL FINANCIALS'!$B$10:$Q$10</c15:sqref>
                  </c15:fullRef>
                </c:ext>
              </c:extLst>
              <c:f>('HISTORICAL FINANCIALS'!$D$10,'HISTORICAL FINANCIALS'!$F$10,'HISTORICAL FINANCIALS'!$J$10,'HISTORICAL FINANCIALS'!$N$10)</c:f>
              <c:numCache>
                <c:formatCode>General</c:formatCode>
                <c:ptCount val="4"/>
                <c:pt idx="0" formatCode="0.00%">
                  <c:v>0.41458198133357693</c:v>
                </c:pt>
                <c:pt idx="1" formatCode="0.00%">
                  <c:v>0.4231412426097681</c:v>
                </c:pt>
                <c:pt idx="2" formatCode="0.00%">
                  <c:v>0.42229985586756619</c:v>
                </c:pt>
                <c:pt idx="3" formatCode="0.00%">
                  <c:v>0.40521228237896917</c:v>
                </c:pt>
              </c:numCache>
            </c:numRef>
          </c:val>
          <c:smooth val="0"/>
          <c:extLst>
            <c:ext xmlns:c16="http://schemas.microsoft.com/office/drawing/2014/chart" uri="{C3380CC4-5D6E-409C-BE32-E72D297353CC}">
              <c16:uniqueId val="{00000005-A934-4E35-91E7-1D25DE146CAA}"/>
            </c:ext>
          </c:extLst>
        </c:ser>
        <c:dLbls>
          <c:showLegendKey val="0"/>
          <c:showVal val="0"/>
          <c:showCatName val="0"/>
          <c:showSerName val="0"/>
          <c:showPercent val="0"/>
          <c:showBubbleSize val="0"/>
        </c:dLbls>
        <c:marker val="1"/>
        <c:smooth val="0"/>
        <c:axId val="1493641103"/>
        <c:axId val="1493640143"/>
        <c:extLst>
          <c:ext xmlns:c15="http://schemas.microsoft.com/office/drawing/2012/chart" uri="{02D57815-91ED-43cb-92C2-25804820EDAC}">
            <c15:filteredLineSeries>
              <c15:ser>
                <c:idx val="0"/>
                <c:order val="0"/>
                <c:tx>
                  <c:strRef>
                    <c:extLst>
                      <c:ext uri="{02D57815-91ED-43cb-92C2-25804820EDAC}">
                        <c15:formulaRef>
                          <c15:sqref>'HISTORICAL FINANCIALS'!$A$5</c15:sqref>
                        </c15:formulaRef>
                      </c:ext>
                    </c:extLst>
                    <c:strCache>
                      <c:ptCount val="1"/>
                      <c:pt idx="0">
                        <c:v>LYFT, Inc. :</c:v>
                      </c:pt>
                    </c:strCache>
                  </c:strRef>
                </c:tx>
                <c:spPr>
                  <a:ln w="28575" cap="rnd">
                    <a:solidFill>
                      <a:schemeClr val="accent2">
                        <a:shade val="50000"/>
                      </a:schemeClr>
                    </a:solidFill>
                    <a:round/>
                  </a:ln>
                  <a:effectLst/>
                </c:spPr>
                <c:marker>
                  <c:symbol val="circle"/>
                  <c:size val="5"/>
                  <c:spPr>
                    <a:solidFill>
                      <a:schemeClr val="accent2">
                        <a:shade val="50000"/>
                      </a:schemeClr>
                    </a:solidFill>
                    <a:ln w="9525">
                      <a:solidFill>
                        <a:schemeClr val="accent2">
                          <a:shade val="50000"/>
                        </a:schemeClr>
                      </a:solidFill>
                    </a:ln>
                    <a:effectLst/>
                  </c:spPr>
                </c:marker>
                <c:cat>
                  <c:strRef>
                    <c:extLst>
                      <c:ext uri="{02D57815-91ED-43cb-92C2-25804820EDAC}">
                        <c15:fullRef>
                          <c15:sqref>'HISTORICAL FINANCIALS'!$B$4:$Q$4</c15:sqref>
                        </c15:fullRef>
                        <c15:formulaRef>
                          <c15:sqref>('HISTORICAL FINANCIALS'!$D$4,'HISTORICAL FINANCIALS'!$F$4,'HISTORICAL FINANCIALS'!$J$4,'HISTORICAL FINANCIALS'!$N$4)</c15:sqref>
                        </c15:formulaRef>
                      </c:ext>
                    </c:extLst>
                    <c:strCache>
                      <c:ptCount val="4"/>
                    </c:strCache>
                  </c:strRef>
                </c:cat>
                <c:val>
                  <c:numRef>
                    <c:extLst>
                      <c:ext uri="{02D57815-91ED-43cb-92C2-25804820EDAC}">
                        <c15:fullRef>
                          <c15:sqref>'HISTORICAL FINANCIALS'!$B$5:$Q$5</c15:sqref>
                        </c15:fullRef>
                        <c15:formulaRef>
                          <c15:sqref>('HISTORICAL FINANCIALS'!$D$5,'HISTORICAL FINANCIALS'!$F$5,'HISTORICAL FINANCIALS'!$J$5,'HISTORICAL FINANCIALS'!$N$5)</c15:sqref>
                        </c15:formulaRef>
                      </c:ext>
                    </c:extLst>
                    <c:numCache>
                      <c:formatCode>General</c:formatCode>
                      <c:ptCount val="4"/>
                    </c:numCache>
                  </c:numRef>
                </c:val>
                <c:smooth val="0"/>
                <c:extLst>
                  <c:ext xmlns:c16="http://schemas.microsoft.com/office/drawing/2014/chart" uri="{C3380CC4-5D6E-409C-BE32-E72D297353CC}">
                    <c16:uniqueId val="{00000000-A934-4E35-91E7-1D25DE146CAA}"/>
                  </c:ext>
                </c:extLst>
              </c15:ser>
            </c15:filteredLineSeries>
            <c15:filteredLineSeries>
              <c15:ser>
                <c:idx val="1"/>
                <c:order val="1"/>
                <c:tx>
                  <c:strRef>
                    <c:extLst>
                      <c:ext xmlns:c15="http://schemas.microsoft.com/office/drawing/2012/chart" uri="{02D57815-91ED-43cb-92C2-25804820EDAC}">
                        <c15:formulaRef>
                          <c15:sqref>'HISTORICAL FINANCIALS'!$A$6</c15:sqref>
                        </c15:formulaRef>
                      </c:ext>
                    </c:extLst>
                    <c:strCache>
                      <c:ptCount val="1"/>
                      <c:pt idx="0">
                        <c:v>Total Revenue</c:v>
                      </c:pt>
                    </c:strCache>
                  </c:strRef>
                </c:tx>
                <c:spPr>
                  <a:ln w="28575" cap="rnd">
                    <a:solidFill>
                      <a:schemeClr val="accent2">
                        <a:shade val="70000"/>
                      </a:schemeClr>
                    </a:solidFill>
                    <a:round/>
                  </a:ln>
                  <a:effectLst/>
                </c:spPr>
                <c:marker>
                  <c:symbol val="circle"/>
                  <c:size val="5"/>
                  <c:spPr>
                    <a:solidFill>
                      <a:schemeClr val="accent2">
                        <a:shade val="70000"/>
                      </a:schemeClr>
                    </a:solidFill>
                    <a:ln w="9525">
                      <a:solidFill>
                        <a:schemeClr val="accent2">
                          <a:shade val="70000"/>
                        </a:schemeClr>
                      </a:solidFill>
                    </a:ln>
                    <a:effectLst/>
                  </c:spPr>
                </c:marker>
                <c:cat>
                  <c:strRef>
                    <c:extLst>
                      <c:ext xmlns:c15="http://schemas.microsoft.com/office/drawing/2012/chart" uri="{02D57815-91ED-43cb-92C2-25804820EDAC}">
                        <c15:fullRef>
                          <c15:sqref>'HISTORICAL FINANCIALS'!$B$4:$Q$4</c15:sqref>
                        </c15:fullRef>
                        <c15:formulaRef>
                          <c15:sqref>('HISTORICAL FINANCIALS'!$D$4,'HISTORICAL FINANCIALS'!$F$4,'HISTORICAL FINANCIALS'!$J$4,'HISTORICAL FINANCIALS'!$N$4)</c15:sqref>
                        </c15:formulaRef>
                      </c:ext>
                    </c:extLst>
                    <c:strCache>
                      <c:ptCount val="4"/>
                    </c:strCache>
                  </c:strRef>
                </c:cat>
                <c:val>
                  <c:numRef>
                    <c:extLst>
                      <c:ext xmlns:c15="http://schemas.microsoft.com/office/drawing/2012/chart" uri="{02D57815-91ED-43cb-92C2-25804820EDAC}">
                        <c15:fullRef>
                          <c15:sqref>'HISTORICAL FINANCIALS'!$B$6:$Q$6</c15:sqref>
                        </c15:fullRef>
                        <c15:formulaRef>
                          <c15:sqref>('HISTORICAL FINANCIALS'!$D$6,'HISTORICAL FINANCIALS'!$F$6,'HISTORICAL FINANCIALS'!$J$6,'HISTORICAL FINANCIALS'!$N$6)</c15:sqref>
                        </c15:formulaRef>
                      </c:ext>
                    </c:extLst>
                    <c:numCache>
                      <c:formatCode>General</c:formatCode>
                      <c:ptCount val="4"/>
                      <c:pt idx="0" formatCode="_(* #,##0_);_(* \(#,##0\);_(* &quot;-&quot;??_);_(@_)">
                        <c:v>6316261</c:v>
                      </c:pt>
                      <c:pt idx="1" formatCode="_(* #,##0_);_(* \(#,##0\);_(* &quot;-&quot;??_);_(@_)">
                        <c:v>5786016</c:v>
                      </c:pt>
                      <c:pt idx="2" formatCode="_(* #,##0_);_(* \(#,##0\);_(* &quot;-&quot;??_);_(@_)">
                        <c:v>4403589</c:v>
                      </c:pt>
                      <c:pt idx="3" formatCode="_(* #,##0_);_(* \(#,##0\);_(* &quot;-&quot;??_);_(@_)">
                        <c:v>4095135</c:v>
                      </c:pt>
                    </c:numCache>
                  </c:numRef>
                </c:val>
                <c:smooth val="0"/>
                <c:extLst>
                  <c:ext xmlns:c16="http://schemas.microsoft.com/office/drawing/2014/chart" uri="{C3380CC4-5D6E-409C-BE32-E72D297353CC}">
                    <c16:uniqueId val="{00000001-A934-4E35-91E7-1D25DE146CAA}"/>
                  </c:ext>
                </c:extLst>
              </c15:ser>
            </c15:filteredLineSeries>
            <c15:filteredLineSeries>
              <c15:ser>
                <c:idx val="2"/>
                <c:order val="2"/>
                <c:tx>
                  <c:strRef>
                    <c:extLst>
                      <c:ext xmlns:c15="http://schemas.microsoft.com/office/drawing/2012/chart" uri="{02D57815-91ED-43cb-92C2-25804820EDAC}">
                        <c15:formulaRef>
                          <c15:sqref>'HISTORICAL FINANCIALS'!$A$7</c15:sqref>
                        </c15:formulaRef>
                      </c:ext>
                    </c:extLst>
                    <c:strCache>
                      <c:ptCount val="1"/>
                      <c:pt idx="0">
                        <c:v>Cost of Revenue</c:v>
                      </c:pt>
                    </c:strCache>
                  </c:strRef>
                </c:tx>
                <c:spPr>
                  <a:ln w="28575" cap="rnd">
                    <a:solidFill>
                      <a:schemeClr val="accent2">
                        <a:shade val="90000"/>
                      </a:schemeClr>
                    </a:solidFill>
                    <a:round/>
                  </a:ln>
                  <a:effectLst/>
                </c:spPr>
                <c:marker>
                  <c:symbol val="circle"/>
                  <c:size val="5"/>
                  <c:spPr>
                    <a:solidFill>
                      <a:schemeClr val="accent2">
                        <a:shade val="90000"/>
                      </a:schemeClr>
                    </a:solidFill>
                    <a:ln w="9525">
                      <a:solidFill>
                        <a:schemeClr val="accent2">
                          <a:shade val="90000"/>
                        </a:schemeClr>
                      </a:solidFill>
                    </a:ln>
                    <a:effectLst/>
                  </c:spPr>
                </c:marker>
                <c:cat>
                  <c:strRef>
                    <c:extLst>
                      <c:ext xmlns:c15="http://schemas.microsoft.com/office/drawing/2012/chart" uri="{02D57815-91ED-43cb-92C2-25804820EDAC}">
                        <c15:fullRef>
                          <c15:sqref>'HISTORICAL FINANCIALS'!$B$4:$Q$4</c15:sqref>
                        </c15:fullRef>
                        <c15:formulaRef>
                          <c15:sqref>('HISTORICAL FINANCIALS'!$D$4,'HISTORICAL FINANCIALS'!$F$4,'HISTORICAL FINANCIALS'!$J$4,'HISTORICAL FINANCIALS'!$N$4)</c15:sqref>
                        </c15:formulaRef>
                      </c:ext>
                    </c:extLst>
                    <c:strCache>
                      <c:ptCount val="4"/>
                    </c:strCache>
                  </c:strRef>
                </c:cat>
                <c:val>
                  <c:numRef>
                    <c:extLst>
                      <c:ext xmlns:c15="http://schemas.microsoft.com/office/drawing/2012/chart" uri="{02D57815-91ED-43cb-92C2-25804820EDAC}">
                        <c15:fullRef>
                          <c15:sqref>'HISTORICAL FINANCIALS'!$B$7:$Q$7</c15:sqref>
                        </c15:fullRef>
                        <c15:formulaRef>
                          <c15:sqref>('HISTORICAL FINANCIALS'!$D$7,'HISTORICAL FINANCIALS'!$F$7,'HISTORICAL FINANCIALS'!$J$7,'HISTORICAL FINANCIALS'!$N$7)</c15:sqref>
                        </c15:formulaRef>
                      </c:ext>
                    </c:extLst>
                    <c:numCache>
                      <c:formatCode>General</c:formatCode>
                      <c:ptCount val="4"/>
                      <c:pt idx="0" formatCode="_(* #,##0_);_(* \(#,##0\);_(* &quot;-&quot;??_);_(@_)">
                        <c:v>3697653</c:v>
                      </c:pt>
                      <c:pt idx="1" formatCode="_(* #,##0_);_(* \(#,##0\);_(* &quot;-&quot;??_);_(@_)">
                        <c:v>3337714</c:v>
                      </c:pt>
                      <c:pt idx="2" formatCode="_(* #,##0_);_(* \(#,##0\);_(* &quot;-&quot;??_);_(@_)">
                        <c:v>2543954</c:v>
                      </c:pt>
                      <c:pt idx="3" formatCode="_(* #,##0_);_(* \(#,##0\);_(* &quot;-&quot;??_);_(@_)">
                        <c:v>2435736</c:v>
                      </c:pt>
                    </c:numCache>
                  </c:numRef>
                </c:val>
                <c:smooth val="0"/>
                <c:extLst>
                  <c:ext xmlns:c16="http://schemas.microsoft.com/office/drawing/2014/chart" uri="{C3380CC4-5D6E-409C-BE32-E72D297353CC}">
                    <c16:uniqueId val="{00000002-A934-4E35-91E7-1D25DE146CAA}"/>
                  </c:ext>
                </c:extLst>
              </c15:ser>
            </c15:filteredLineSeries>
            <c15:filteredLineSeries>
              <c15:ser>
                <c:idx val="3"/>
                <c:order val="3"/>
                <c:tx>
                  <c:strRef>
                    <c:extLst>
                      <c:ext xmlns:c15="http://schemas.microsoft.com/office/drawing/2012/chart" uri="{02D57815-91ED-43cb-92C2-25804820EDAC}">
                        <c15:formulaRef>
                          <c15:sqref>'HISTORICAL FINANCIALS'!$A$8</c15:sqref>
                        </c15:formulaRef>
                      </c:ext>
                    </c:extLst>
                    <c:strCache>
                      <c:ptCount val="1"/>
                      <c:pt idx="0">
                        <c:v>Cost Ratio</c:v>
                      </c:pt>
                    </c:strCache>
                  </c:strRef>
                </c:tx>
                <c:spPr>
                  <a:ln w="28575" cap="rnd">
                    <a:solidFill>
                      <a:schemeClr val="accent2">
                        <a:tint val="90000"/>
                      </a:schemeClr>
                    </a:solidFill>
                    <a:round/>
                  </a:ln>
                  <a:effectLst/>
                </c:spPr>
                <c:marker>
                  <c:symbol val="circle"/>
                  <c:size val="5"/>
                  <c:spPr>
                    <a:solidFill>
                      <a:schemeClr val="accent2">
                        <a:tint val="90000"/>
                      </a:schemeClr>
                    </a:solidFill>
                    <a:ln w="9525">
                      <a:solidFill>
                        <a:schemeClr val="accent2">
                          <a:tint val="90000"/>
                        </a:schemeClr>
                      </a:solidFill>
                    </a:ln>
                    <a:effectLst/>
                  </c:spPr>
                </c:marker>
                <c:cat>
                  <c:strRef>
                    <c:extLst>
                      <c:ext xmlns:c15="http://schemas.microsoft.com/office/drawing/2012/chart" uri="{02D57815-91ED-43cb-92C2-25804820EDAC}">
                        <c15:fullRef>
                          <c15:sqref>'HISTORICAL FINANCIALS'!$B$4:$Q$4</c15:sqref>
                        </c15:fullRef>
                        <c15:formulaRef>
                          <c15:sqref>('HISTORICAL FINANCIALS'!$D$4,'HISTORICAL FINANCIALS'!$F$4,'HISTORICAL FINANCIALS'!$J$4,'HISTORICAL FINANCIALS'!$N$4)</c15:sqref>
                        </c15:formulaRef>
                      </c:ext>
                    </c:extLst>
                    <c:strCache>
                      <c:ptCount val="4"/>
                    </c:strCache>
                  </c:strRef>
                </c:cat>
                <c:val>
                  <c:numRef>
                    <c:extLst>
                      <c:ext xmlns:c15="http://schemas.microsoft.com/office/drawing/2012/chart" uri="{02D57815-91ED-43cb-92C2-25804820EDAC}">
                        <c15:fullRef>
                          <c15:sqref>'HISTORICAL FINANCIALS'!$B$8:$Q$8</c15:sqref>
                        </c15:fullRef>
                        <c15:formulaRef>
                          <c15:sqref>('HISTORICAL FINANCIALS'!$D$8,'HISTORICAL FINANCIALS'!$F$8,'HISTORICAL FINANCIALS'!$J$8,'HISTORICAL FINANCIALS'!$N$8)</c15:sqref>
                        </c15:formulaRef>
                      </c:ext>
                    </c:extLst>
                    <c:numCache>
                      <c:formatCode>General</c:formatCode>
                      <c:ptCount val="4"/>
                      <c:pt idx="0" formatCode="0.00%">
                        <c:v>0.58541801866642307</c:v>
                      </c:pt>
                      <c:pt idx="1" formatCode="0.00%">
                        <c:v>0.57685875739023185</c:v>
                      </c:pt>
                      <c:pt idx="2" formatCode="0.00%">
                        <c:v>0.57770014413243376</c:v>
                      </c:pt>
                      <c:pt idx="3" formatCode="0.00%">
                        <c:v>0.59478771762103078</c:v>
                      </c:pt>
                    </c:numCache>
                  </c:numRef>
                </c:val>
                <c:smooth val="0"/>
                <c:extLst>
                  <c:ext xmlns:c16="http://schemas.microsoft.com/office/drawing/2014/chart" uri="{C3380CC4-5D6E-409C-BE32-E72D297353CC}">
                    <c16:uniqueId val="{00000003-A934-4E35-91E7-1D25DE146CAA}"/>
                  </c:ext>
                </c:extLst>
              </c15:ser>
            </c15:filteredLineSeries>
            <c15:filteredLineSeries>
              <c15:ser>
                <c:idx val="4"/>
                <c:order val="4"/>
                <c:tx>
                  <c:strRef>
                    <c:extLst>
                      <c:ext xmlns:c15="http://schemas.microsoft.com/office/drawing/2012/chart" uri="{02D57815-91ED-43cb-92C2-25804820EDAC}">
                        <c15:formulaRef>
                          <c15:sqref>'HISTORICAL FINANCIALS'!$A$9</c15:sqref>
                        </c15:formulaRef>
                      </c:ext>
                    </c:extLst>
                    <c:strCache>
                      <c:ptCount val="1"/>
                      <c:pt idx="0">
                        <c:v>Gross Profit</c:v>
                      </c:pt>
                    </c:strCache>
                  </c:strRef>
                </c:tx>
                <c:spPr>
                  <a:ln w="28575" cap="rnd">
                    <a:solidFill>
                      <a:schemeClr val="accent2">
                        <a:tint val="70000"/>
                      </a:schemeClr>
                    </a:solidFill>
                    <a:round/>
                  </a:ln>
                  <a:effectLst/>
                </c:spPr>
                <c:marker>
                  <c:symbol val="circle"/>
                  <c:size val="5"/>
                  <c:spPr>
                    <a:solidFill>
                      <a:schemeClr val="accent2">
                        <a:tint val="70000"/>
                      </a:schemeClr>
                    </a:solidFill>
                    <a:ln w="9525">
                      <a:solidFill>
                        <a:schemeClr val="accent2">
                          <a:tint val="70000"/>
                        </a:schemeClr>
                      </a:solidFill>
                    </a:ln>
                    <a:effectLst/>
                  </c:spPr>
                </c:marker>
                <c:cat>
                  <c:strRef>
                    <c:extLst>
                      <c:ext xmlns:c15="http://schemas.microsoft.com/office/drawing/2012/chart" uri="{02D57815-91ED-43cb-92C2-25804820EDAC}">
                        <c15:fullRef>
                          <c15:sqref>'HISTORICAL FINANCIALS'!$B$4:$Q$4</c15:sqref>
                        </c15:fullRef>
                        <c15:formulaRef>
                          <c15:sqref>('HISTORICAL FINANCIALS'!$D$4,'HISTORICAL FINANCIALS'!$F$4,'HISTORICAL FINANCIALS'!$J$4,'HISTORICAL FINANCIALS'!$N$4)</c15:sqref>
                        </c15:formulaRef>
                      </c:ext>
                    </c:extLst>
                    <c:strCache>
                      <c:ptCount val="4"/>
                    </c:strCache>
                  </c:strRef>
                </c:cat>
                <c:val>
                  <c:numRef>
                    <c:extLst>
                      <c:ext xmlns:c15="http://schemas.microsoft.com/office/drawing/2012/chart" uri="{02D57815-91ED-43cb-92C2-25804820EDAC}">
                        <c15:fullRef>
                          <c15:sqref>'HISTORICAL FINANCIALS'!$B$9:$Q$9</c15:sqref>
                        </c15:fullRef>
                        <c15:formulaRef>
                          <c15:sqref>('HISTORICAL FINANCIALS'!$D$9,'HISTORICAL FINANCIALS'!$F$9,'HISTORICAL FINANCIALS'!$J$9,'HISTORICAL FINANCIALS'!$N$9)</c15:sqref>
                        </c15:formulaRef>
                      </c:ext>
                    </c:extLst>
                    <c:numCache>
                      <c:formatCode>General</c:formatCode>
                      <c:ptCount val="4"/>
                      <c:pt idx="0" formatCode="_(* #,##0_);_(* \(#,##0\);_(* &quot;-&quot;??_);_(@_)">
                        <c:v>2618608</c:v>
                      </c:pt>
                      <c:pt idx="1" formatCode="_(* #,##0_);_(* \(#,##0\);_(* &quot;-&quot;??_);_(@_)">
                        <c:v>2448302</c:v>
                      </c:pt>
                      <c:pt idx="2" formatCode="_(* #,##0_);_(* \(#,##0\);_(* &quot;-&quot;??_);_(@_)">
                        <c:v>1859635</c:v>
                      </c:pt>
                      <c:pt idx="3" formatCode="_(* #,##0_);_(* \(#,##0\);_(* &quot;-&quot;??_);_(@_)">
                        <c:v>1659399</c:v>
                      </c:pt>
                    </c:numCache>
                  </c:numRef>
                </c:val>
                <c:smooth val="0"/>
                <c:extLst>
                  <c:ext xmlns:c16="http://schemas.microsoft.com/office/drawing/2014/chart" uri="{C3380CC4-5D6E-409C-BE32-E72D297353CC}">
                    <c16:uniqueId val="{00000004-A934-4E35-91E7-1D25DE146CAA}"/>
                  </c:ext>
                </c:extLst>
              </c15:ser>
            </c15:filteredLineSeries>
          </c:ext>
        </c:extLst>
      </c:lineChart>
      <c:catAx>
        <c:axId val="149364110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40143"/>
        <c:crosses val="autoZero"/>
        <c:auto val="1"/>
        <c:lblAlgn val="ctr"/>
        <c:lblOffset val="100"/>
        <c:noMultiLvlLbl val="0"/>
      </c:catAx>
      <c:valAx>
        <c:axId val="1493640143"/>
        <c:scaling>
          <c:orientation val="minMax"/>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41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Flow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tx2">
                <a:lumMod val="10000"/>
                <a:lumOff val="90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'DCF &amp; SENSITIVITY ANALYSIS'!$D$15:$M$15</c:f>
              <c:strCache>
                <c:ptCount val="9"/>
                <c:pt idx="0">
                  <c:v>FISCAL 2026</c:v>
                </c:pt>
                <c:pt idx="2">
                  <c:v>FISCAL 2027</c:v>
                </c:pt>
                <c:pt idx="4">
                  <c:v>FISCAL 2028</c:v>
                </c:pt>
                <c:pt idx="6">
                  <c:v>FISCAL 2029</c:v>
                </c:pt>
                <c:pt idx="8">
                  <c:v>FISCAL 2030</c:v>
                </c:pt>
              </c:strCache>
            </c:strRef>
          </c:cat>
          <c:val>
            <c:numRef>
              <c:f>'DCF &amp; SENSITIVITY ANALYSIS'!$D$17:$M$17</c:f>
              <c:numCache>
                <c:formatCode>_(* #,##0_);_(* \(#,##0\);_(* "-"??_);_(@_)</c:formatCode>
                <c:ptCount val="10"/>
                <c:pt idx="0">
                  <c:v>1284345.3536095007</c:v>
                </c:pt>
                <c:pt idx="2">
                  <c:v>1380143.5409980542</c:v>
                </c:pt>
                <c:pt idx="4">
                  <c:v>1479583.1968638597</c:v>
                </c:pt>
                <c:pt idx="6">
                  <c:v>1577716.5120582534</c:v>
                </c:pt>
                <c:pt idx="8">
                  <c:v>1663843.9454424367</c:v>
                </c:pt>
              </c:numCache>
            </c:numRef>
          </c:val>
          <c:extLst>
            <c:ext xmlns:c16="http://schemas.microsoft.com/office/drawing/2014/chart" uri="{C3380CC4-5D6E-409C-BE32-E72D297353CC}">
              <c16:uniqueId val="{00000000-2E50-4CBB-B1FC-D2B7FD95EF8E}"/>
            </c:ext>
          </c:extLst>
        </c:ser>
        <c:dLbls>
          <c:dLblPos val="outEnd"/>
          <c:showLegendKey val="0"/>
          <c:showVal val="1"/>
          <c:showCatName val="0"/>
          <c:showSerName val="0"/>
          <c:showPercent val="0"/>
          <c:showBubbleSize val="0"/>
        </c:dLbls>
        <c:gapWidth val="20"/>
        <c:overlap val="-5"/>
        <c:axId val="1534997231"/>
        <c:axId val="1534994831"/>
      </c:barChart>
      <c:catAx>
        <c:axId val="153499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4994831"/>
        <c:crosses val="autoZero"/>
        <c:auto val="1"/>
        <c:lblAlgn val="ctr"/>
        <c:lblOffset val="100"/>
        <c:noMultiLvlLbl val="0"/>
      </c:catAx>
      <c:valAx>
        <c:axId val="1534994831"/>
        <c:scaling>
          <c:orientation val="minMax"/>
        </c:scaling>
        <c:delete val="1"/>
        <c:axPos val="l"/>
        <c:numFmt formatCode="_(* #,##0_);_(* \(#,##0\);_(* &quot;-&quot;??_);_(@_)" sourceLinked="1"/>
        <c:majorTickMark val="none"/>
        <c:minorTickMark val="none"/>
        <c:tickLblPos val="nextTo"/>
        <c:crossAx val="1534997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Market Value vs Intrinsic Value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Market Value vs Intrinsic Value</a:t>
          </a:r>
        </a:p>
      </cx:txPr>
    </cx:title>
    <cx:plotArea>
      <cx:plotAreaRegion>
        <cx:series layoutId="waterfall" uniqueId="{00000000-1882-4E27-B4F0-A953BB4086EB}">
          <cx:spPr>
            <a:solidFill>
              <a:schemeClr val="tx2">
                <a:lumMod val="10000"/>
                <a:lumOff val="90000"/>
              </a:schemeClr>
            </a:solidFill>
            <a:ln>
              <a:solidFill>
                <a:schemeClr val="tx2">
                  <a:lumMod val="10000"/>
                  <a:lumOff val="90000"/>
                </a:schemeClr>
              </a:solidFill>
            </a:ln>
          </cx:spPr>
          <cx:dataLabels pos="outEnd">
            <cx:numFmt formatCode="$#,##0.00" sourceLinked="0"/>
            <cx:visibility seriesName="0" categoryName="0" value="1"/>
            <cx:separator>, </cx:separator>
          </cx:dataLabels>
          <cx:dataId val="0"/>
          <cx:layoutPr>
            <cx:visibility connectorLines="1"/>
            <cx:subtotals>
              <cx:idx val="2"/>
            </cx:subtotals>
          </cx:layoutPr>
        </cx:series>
      </cx:plotAreaRegion>
      <cx:axis id="0">
        <cx:catScaling gapWidth="0.5"/>
        <cx:tickLabels/>
      </cx:axis>
      <cx:axis id="1" hidden="1">
        <cx:valScaling min="0"/>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4.png"/><Relationship Id="rId7" Type="http://schemas.openxmlformats.org/officeDocument/2006/relationships/chart" Target="../charts/chart1.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8.png"/><Relationship Id="rId4" Type="http://schemas.openxmlformats.org/officeDocument/2006/relationships/image" Target="../media/image5.png"/><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8" Type="http://schemas.openxmlformats.org/officeDocument/2006/relationships/image" Target="../media/image16.png"/><Relationship Id="rId3" Type="http://schemas.openxmlformats.org/officeDocument/2006/relationships/image" Target="../media/image11.png"/><Relationship Id="rId7" Type="http://schemas.openxmlformats.org/officeDocument/2006/relationships/image" Target="../media/image15.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 Id="rId9" Type="http://schemas.openxmlformats.org/officeDocument/2006/relationships/image" Target="../media/image17.png"/></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66675</xdr:colOff>
      <xdr:row>1</xdr:row>
      <xdr:rowOff>176568</xdr:rowOff>
    </xdr:to>
    <xdr:pic>
      <xdr:nvPicPr>
        <xdr:cNvPr id="2" name="Picture 1" descr="Uber-Lyft-Logos-690x388 - Association of Youth Ministry ...">
          <a:extLst>
            <a:ext uri="{FF2B5EF4-FFF2-40B4-BE49-F238E27FC236}">
              <a16:creationId xmlns:a16="http://schemas.microsoft.com/office/drawing/2014/main" id="{5EF6934E-3CCE-8F23-0011-B3FDE969B1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09650" cy="557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47626</xdr:colOff>
      <xdr:row>1</xdr:row>
      <xdr:rowOff>180976</xdr:rowOff>
    </xdr:from>
    <xdr:to>
      <xdr:col>3</xdr:col>
      <xdr:colOff>371475</xdr:colOff>
      <xdr:row>3</xdr:row>
      <xdr:rowOff>123825</xdr:rowOff>
    </xdr:to>
    <xdr:pic>
      <xdr:nvPicPr>
        <xdr:cNvPr id="6" name="Picture 5">
          <a:extLst>
            <a:ext uri="{FF2B5EF4-FFF2-40B4-BE49-F238E27FC236}">
              <a16:creationId xmlns:a16="http://schemas.microsoft.com/office/drawing/2014/main" id="{54282A28-5E4A-14D5-FDBB-2310FD344DC6}"/>
            </a:ext>
          </a:extLst>
        </xdr:cNvPr>
        <xdr:cNvPicPr>
          <a:picLocks noChangeAspect="1"/>
        </xdr:cNvPicPr>
      </xdr:nvPicPr>
      <xdr:blipFill>
        <a:blip xmlns:r="http://schemas.openxmlformats.org/officeDocument/2006/relationships" r:embed="rId1"/>
        <a:stretch>
          <a:fillRect/>
        </a:stretch>
      </xdr:blipFill>
      <xdr:spPr>
        <a:xfrm>
          <a:off x="2162176" y="381001"/>
          <a:ext cx="323849" cy="323849"/>
        </a:xfrm>
        <a:prstGeom prst="rect">
          <a:avLst/>
        </a:prstGeom>
      </xdr:spPr>
    </xdr:pic>
    <xdr:clientData/>
  </xdr:twoCellAnchor>
  <xdr:twoCellAnchor editAs="oneCell">
    <xdr:from>
      <xdr:col>6</xdr:col>
      <xdr:colOff>57151</xdr:colOff>
      <xdr:row>1</xdr:row>
      <xdr:rowOff>95250</xdr:rowOff>
    </xdr:from>
    <xdr:to>
      <xdr:col>6</xdr:col>
      <xdr:colOff>514351</xdr:colOff>
      <xdr:row>3</xdr:row>
      <xdr:rowOff>171450</xdr:rowOff>
    </xdr:to>
    <xdr:pic>
      <xdr:nvPicPr>
        <xdr:cNvPr id="10" name="Picture 9">
          <a:extLst>
            <a:ext uri="{FF2B5EF4-FFF2-40B4-BE49-F238E27FC236}">
              <a16:creationId xmlns:a16="http://schemas.microsoft.com/office/drawing/2014/main" id="{E669A08B-413B-AAD1-4BC3-4D567EF96CE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00501" y="295275"/>
          <a:ext cx="457200" cy="457200"/>
        </a:xfrm>
        <a:prstGeom prst="rect">
          <a:avLst/>
        </a:prstGeom>
      </xdr:spPr>
    </xdr:pic>
    <xdr:clientData/>
  </xdr:twoCellAnchor>
  <xdr:twoCellAnchor editAs="oneCell">
    <xdr:from>
      <xdr:col>9</xdr:col>
      <xdr:colOff>66675</xdr:colOff>
      <xdr:row>1</xdr:row>
      <xdr:rowOff>171450</xdr:rowOff>
    </xdr:from>
    <xdr:to>
      <xdr:col>9</xdr:col>
      <xdr:colOff>432435</xdr:colOff>
      <xdr:row>3</xdr:row>
      <xdr:rowOff>156210</xdr:rowOff>
    </xdr:to>
    <xdr:pic>
      <xdr:nvPicPr>
        <xdr:cNvPr id="12" name="Picture 11">
          <a:extLst>
            <a:ext uri="{FF2B5EF4-FFF2-40B4-BE49-F238E27FC236}">
              <a16:creationId xmlns:a16="http://schemas.microsoft.com/office/drawing/2014/main" id="{0BB03A90-C32F-0535-9519-19AF6F72E46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838825" y="371475"/>
          <a:ext cx="365760" cy="365760"/>
        </a:xfrm>
        <a:prstGeom prst="rect">
          <a:avLst/>
        </a:prstGeom>
      </xdr:spPr>
    </xdr:pic>
    <xdr:clientData/>
  </xdr:twoCellAnchor>
  <xdr:twoCellAnchor editAs="oneCell">
    <xdr:from>
      <xdr:col>18</xdr:col>
      <xdr:colOff>85725</xdr:colOff>
      <xdr:row>1</xdr:row>
      <xdr:rowOff>171450</xdr:rowOff>
    </xdr:from>
    <xdr:to>
      <xdr:col>18</xdr:col>
      <xdr:colOff>451485</xdr:colOff>
      <xdr:row>3</xdr:row>
      <xdr:rowOff>156210</xdr:rowOff>
    </xdr:to>
    <xdr:pic>
      <xdr:nvPicPr>
        <xdr:cNvPr id="14" name="Picture 13">
          <a:extLst>
            <a:ext uri="{FF2B5EF4-FFF2-40B4-BE49-F238E27FC236}">
              <a16:creationId xmlns:a16="http://schemas.microsoft.com/office/drawing/2014/main" id="{1C386B05-1AB8-4FE0-AB02-EFB7A7B517E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44275" y="371475"/>
          <a:ext cx="365760" cy="365760"/>
        </a:xfrm>
        <a:prstGeom prst="rect">
          <a:avLst/>
        </a:prstGeom>
      </xdr:spPr>
    </xdr:pic>
    <xdr:clientData/>
  </xdr:twoCellAnchor>
  <xdr:twoCellAnchor editAs="oneCell">
    <xdr:from>
      <xdr:col>15</xdr:col>
      <xdr:colOff>142875</xdr:colOff>
      <xdr:row>2</xdr:row>
      <xdr:rowOff>19050</xdr:rowOff>
    </xdr:from>
    <xdr:to>
      <xdr:col>16</xdr:col>
      <xdr:colOff>5715</xdr:colOff>
      <xdr:row>3</xdr:row>
      <xdr:rowOff>148590</xdr:rowOff>
    </xdr:to>
    <xdr:pic>
      <xdr:nvPicPr>
        <xdr:cNvPr id="16" name="Picture 15">
          <a:extLst>
            <a:ext uri="{FF2B5EF4-FFF2-40B4-BE49-F238E27FC236}">
              <a16:creationId xmlns:a16="http://schemas.microsoft.com/office/drawing/2014/main" id="{0A133AEE-D75F-C58D-44AE-1C1301F1DDA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572625" y="409575"/>
          <a:ext cx="320040" cy="320040"/>
        </a:xfrm>
        <a:prstGeom prst="rect">
          <a:avLst/>
        </a:prstGeom>
      </xdr:spPr>
    </xdr:pic>
    <xdr:clientData/>
  </xdr:twoCellAnchor>
  <xdr:twoCellAnchor editAs="oneCell">
    <xdr:from>
      <xdr:col>12</xdr:col>
      <xdr:colOff>114300</xdr:colOff>
      <xdr:row>1</xdr:row>
      <xdr:rowOff>171450</xdr:rowOff>
    </xdr:from>
    <xdr:to>
      <xdr:col>12</xdr:col>
      <xdr:colOff>434340</xdr:colOff>
      <xdr:row>3</xdr:row>
      <xdr:rowOff>110490</xdr:rowOff>
    </xdr:to>
    <xdr:pic>
      <xdr:nvPicPr>
        <xdr:cNvPr id="18" name="Picture 17">
          <a:extLst>
            <a:ext uri="{FF2B5EF4-FFF2-40B4-BE49-F238E27FC236}">
              <a16:creationId xmlns:a16="http://schemas.microsoft.com/office/drawing/2014/main" id="{2AC02949-0D25-B79C-C005-8D15523D90C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15250" y="371475"/>
          <a:ext cx="320040" cy="320040"/>
        </a:xfrm>
        <a:prstGeom prst="rect">
          <a:avLst/>
        </a:prstGeom>
      </xdr:spPr>
    </xdr:pic>
    <xdr:clientData/>
  </xdr:twoCellAnchor>
  <xdr:twoCellAnchor>
    <xdr:from>
      <xdr:col>3</xdr:col>
      <xdr:colOff>161926</xdr:colOff>
      <xdr:row>7</xdr:row>
      <xdr:rowOff>0</xdr:rowOff>
    </xdr:from>
    <xdr:to>
      <xdr:col>14</xdr:col>
      <xdr:colOff>390526</xdr:colOff>
      <xdr:row>20</xdr:row>
      <xdr:rowOff>180975</xdr:rowOff>
    </xdr:to>
    <xdr:graphicFrame macro="">
      <xdr:nvGraphicFramePr>
        <xdr:cNvPr id="19" name="Chart 18">
          <a:extLst>
            <a:ext uri="{FF2B5EF4-FFF2-40B4-BE49-F238E27FC236}">
              <a16:creationId xmlns:a16="http://schemas.microsoft.com/office/drawing/2014/main" id="{ED65EE61-3321-462E-8555-AD6078DA7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171451</xdr:colOff>
      <xdr:row>21</xdr:row>
      <xdr:rowOff>133346</xdr:rowOff>
    </xdr:from>
    <xdr:to>
      <xdr:col>14</xdr:col>
      <xdr:colOff>400051</xdr:colOff>
      <xdr:row>35</xdr:row>
      <xdr:rowOff>133346</xdr:rowOff>
    </xdr:to>
    <xdr:graphicFrame macro="">
      <xdr:nvGraphicFramePr>
        <xdr:cNvPr id="20" name="Chart 19">
          <a:extLst>
            <a:ext uri="{FF2B5EF4-FFF2-40B4-BE49-F238E27FC236}">
              <a16:creationId xmlns:a16="http://schemas.microsoft.com/office/drawing/2014/main" id="{B1CCA7EB-0833-4047-9435-3C3A88526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19049</xdr:colOff>
      <xdr:row>47</xdr:row>
      <xdr:rowOff>200024</xdr:rowOff>
    </xdr:from>
    <xdr:to>
      <xdr:col>12</xdr:col>
      <xdr:colOff>371475</xdr:colOff>
      <xdr:row>62</xdr:row>
      <xdr:rowOff>66674</xdr:rowOff>
    </xdr:to>
    <xdr:graphicFrame macro="">
      <xdr:nvGraphicFramePr>
        <xdr:cNvPr id="28" name="Chart 27">
          <a:extLst>
            <a:ext uri="{FF2B5EF4-FFF2-40B4-BE49-F238E27FC236}">
              <a16:creationId xmlns:a16="http://schemas.microsoft.com/office/drawing/2014/main" id="{00CBFB60-9258-4E7D-988F-EA7B62EBA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196850</xdr:colOff>
      <xdr:row>50</xdr:row>
      <xdr:rowOff>9525</xdr:rowOff>
    </xdr:from>
    <xdr:to>
      <xdr:col>13</xdr:col>
      <xdr:colOff>382905</xdr:colOff>
      <xdr:row>58</xdr:row>
      <xdr:rowOff>182880</xdr:rowOff>
    </xdr:to>
    <xdr:grpSp>
      <xdr:nvGrpSpPr>
        <xdr:cNvPr id="37" name="Group 36">
          <a:extLst>
            <a:ext uri="{FF2B5EF4-FFF2-40B4-BE49-F238E27FC236}">
              <a16:creationId xmlns:a16="http://schemas.microsoft.com/office/drawing/2014/main" id="{443EE5AD-17D3-9B36-1960-47ED76B08AD6}"/>
            </a:ext>
          </a:extLst>
        </xdr:cNvPr>
        <xdr:cNvGrpSpPr/>
      </xdr:nvGrpSpPr>
      <xdr:grpSpPr>
        <a:xfrm>
          <a:off x="9064625" y="9791700"/>
          <a:ext cx="186055" cy="1697355"/>
          <a:chOff x="10395360" y="9583686"/>
          <a:chExt cx="186055" cy="1697355"/>
        </a:xfrm>
      </xdr:grpSpPr>
      <xdr:pic>
        <xdr:nvPicPr>
          <xdr:cNvPr id="32" name="Picture 31">
            <a:extLst>
              <a:ext uri="{FF2B5EF4-FFF2-40B4-BE49-F238E27FC236}">
                <a16:creationId xmlns:a16="http://schemas.microsoft.com/office/drawing/2014/main" id="{38E11C2D-7C8F-95F2-C0E4-96D0D57D41C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95360" y="9583686"/>
            <a:ext cx="182880" cy="182880"/>
          </a:xfrm>
          <a:prstGeom prst="rect">
            <a:avLst/>
          </a:prstGeom>
        </xdr:spPr>
      </xdr:pic>
      <xdr:pic>
        <xdr:nvPicPr>
          <xdr:cNvPr id="33" name="Picture 32">
            <a:extLst>
              <a:ext uri="{FF2B5EF4-FFF2-40B4-BE49-F238E27FC236}">
                <a16:creationId xmlns:a16="http://schemas.microsoft.com/office/drawing/2014/main" id="{43FA203F-9D39-4609-B9BF-C437E285EB3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95360" y="9964686"/>
            <a:ext cx="182880" cy="182880"/>
          </a:xfrm>
          <a:prstGeom prst="rect">
            <a:avLst/>
          </a:prstGeom>
        </xdr:spPr>
      </xdr:pic>
      <xdr:pic>
        <xdr:nvPicPr>
          <xdr:cNvPr id="34" name="Picture 33">
            <a:extLst>
              <a:ext uri="{FF2B5EF4-FFF2-40B4-BE49-F238E27FC236}">
                <a16:creationId xmlns:a16="http://schemas.microsoft.com/office/drawing/2014/main" id="{437AAC8E-1CD6-4A7E-AB5A-6DDFF575EA99}"/>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95360" y="10336161"/>
            <a:ext cx="182880" cy="182880"/>
          </a:xfrm>
          <a:prstGeom prst="rect">
            <a:avLst/>
          </a:prstGeom>
        </xdr:spPr>
      </xdr:pic>
      <xdr:pic>
        <xdr:nvPicPr>
          <xdr:cNvPr id="35" name="Picture 34">
            <a:extLst>
              <a:ext uri="{FF2B5EF4-FFF2-40B4-BE49-F238E27FC236}">
                <a16:creationId xmlns:a16="http://schemas.microsoft.com/office/drawing/2014/main" id="{F3FCC9E5-4725-4927-81CD-FF05D2E8C5E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98535" y="10726686"/>
            <a:ext cx="182880" cy="182880"/>
          </a:xfrm>
          <a:prstGeom prst="rect">
            <a:avLst/>
          </a:prstGeom>
        </xdr:spPr>
      </xdr:pic>
      <xdr:pic>
        <xdr:nvPicPr>
          <xdr:cNvPr id="36" name="Picture 35">
            <a:extLst>
              <a:ext uri="{FF2B5EF4-FFF2-40B4-BE49-F238E27FC236}">
                <a16:creationId xmlns:a16="http://schemas.microsoft.com/office/drawing/2014/main" id="{BDCF59E7-7C0A-49D7-9919-5B5F5AC1C40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398535" y="11098161"/>
            <a:ext cx="182880" cy="182880"/>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B1CCA7EB-0833-4047-9435-3C3A88526C15}"/>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4.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B1CCA7EB-0833-4047-9435-3C3A88526C15}"/>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cdr:y>
    </cdr:from>
    <cdr:to>
      <cdr:x>1</cdr:x>
      <cdr:y>1</cdr:y>
    </cdr:to>
    <cdr:graphicFrame macro="">
      <cdr:nvGraphicFramePr>
        <cdr:cNvPr id="3" name="Chart 1">
          <a:extLst xmlns:a="http://schemas.openxmlformats.org/drawingml/2006/main">
            <a:ext uri="{FF2B5EF4-FFF2-40B4-BE49-F238E27FC236}">
              <a16:creationId xmlns:a16="http://schemas.microsoft.com/office/drawing/2014/main" id="{B1CCA7EB-0833-4047-9435-3C3A88526C15}"/>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B1CCA7EB-0833-4047-9435-3C3A88526C15}"/>
            </a:ext>
          </a:extLst>
        </cdr:cNvPr>
        <cdr:cNvGraphicFramePr>
          <a:graphicFrameLocks xmlns:a="http://schemas.openxmlformats.org/drawingml/2006/main"/>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cdr:graphicFrame>
  </cdr:relSizeAnchor>
</c:userShapes>
</file>

<file path=xl/drawings/drawing5.xml><?xml version="1.0" encoding="utf-8"?>
<xdr:wsDr xmlns:xdr="http://schemas.openxmlformats.org/drawingml/2006/spreadsheetDrawing" xmlns:a="http://schemas.openxmlformats.org/drawingml/2006/main">
  <xdr:twoCellAnchor editAs="oneCell">
    <xdr:from>
      <xdr:col>2</xdr:col>
      <xdr:colOff>85725</xdr:colOff>
      <xdr:row>4</xdr:row>
      <xdr:rowOff>38894</xdr:rowOff>
    </xdr:from>
    <xdr:to>
      <xdr:col>3</xdr:col>
      <xdr:colOff>47625</xdr:colOff>
      <xdr:row>7</xdr:row>
      <xdr:rowOff>38894</xdr:rowOff>
    </xdr:to>
    <xdr:pic>
      <xdr:nvPicPr>
        <xdr:cNvPr id="4" name="Picture 3">
          <a:extLst>
            <a:ext uri="{FF2B5EF4-FFF2-40B4-BE49-F238E27FC236}">
              <a16:creationId xmlns:a16="http://schemas.microsoft.com/office/drawing/2014/main" id="{17ECA3A4-003A-2F2A-D144-D26C1B1488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194" y="912019"/>
          <a:ext cx="567134" cy="565547"/>
        </a:xfrm>
        <a:prstGeom prst="rect">
          <a:avLst/>
        </a:prstGeom>
      </xdr:spPr>
    </xdr:pic>
    <xdr:clientData/>
  </xdr:twoCellAnchor>
  <xdr:twoCellAnchor editAs="oneCell">
    <xdr:from>
      <xdr:col>12</xdr:col>
      <xdr:colOff>190500</xdr:colOff>
      <xdr:row>4</xdr:row>
      <xdr:rowOff>57150</xdr:rowOff>
    </xdr:from>
    <xdr:to>
      <xdr:col>13</xdr:col>
      <xdr:colOff>38100</xdr:colOff>
      <xdr:row>6</xdr:row>
      <xdr:rowOff>133350</xdr:rowOff>
    </xdr:to>
    <xdr:pic>
      <xdr:nvPicPr>
        <xdr:cNvPr id="10" name="Picture 9">
          <a:extLst>
            <a:ext uri="{FF2B5EF4-FFF2-40B4-BE49-F238E27FC236}">
              <a16:creationId xmlns:a16="http://schemas.microsoft.com/office/drawing/2014/main" id="{54CA8EF5-5248-3FFB-8B13-F2A7B76D8C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505700" y="933450"/>
          <a:ext cx="457200" cy="457200"/>
        </a:xfrm>
        <a:prstGeom prst="rect">
          <a:avLst/>
        </a:prstGeom>
      </xdr:spPr>
    </xdr:pic>
    <xdr:clientData/>
  </xdr:twoCellAnchor>
  <xdr:twoCellAnchor editAs="oneCell">
    <xdr:from>
      <xdr:col>17</xdr:col>
      <xdr:colOff>104775</xdr:colOff>
      <xdr:row>4</xdr:row>
      <xdr:rowOff>57149</xdr:rowOff>
    </xdr:from>
    <xdr:to>
      <xdr:col>17</xdr:col>
      <xdr:colOff>593651</xdr:colOff>
      <xdr:row>6</xdr:row>
      <xdr:rowOff>164750</xdr:rowOff>
    </xdr:to>
    <xdr:pic>
      <xdr:nvPicPr>
        <xdr:cNvPr id="12" name="Picture 11">
          <a:extLst>
            <a:ext uri="{FF2B5EF4-FFF2-40B4-BE49-F238E27FC236}">
              <a16:creationId xmlns:a16="http://schemas.microsoft.com/office/drawing/2014/main" id="{D19821C3-94CC-0652-E62D-71F341CED9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393759" y="930274"/>
          <a:ext cx="488876" cy="484632"/>
        </a:xfrm>
        <a:prstGeom prst="rect">
          <a:avLst/>
        </a:prstGeom>
      </xdr:spPr>
    </xdr:pic>
    <xdr:clientData/>
  </xdr:twoCellAnchor>
  <xdr:twoCellAnchor editAs="oneCell">
    <xdr:from>
      <xdr:col>7</xdr:col>
      <xdr:colOff>171450</xdr:colOff>
      <xdr:row>4</xdr:row>
      <xdr:rowOff>57150</xdr:rowOff>
    </xdr:from>
    <xdr:to>
      <xdr:col>8</xdr:col>
      <xdr:colOff>19050</xdr:colOff>
      <xdr:row>6</xdr:row>
      <xdr:rowOff>133350</xdr:rowOff>
    </xdr:to>
    <xdr:pic>
      <xdr:nvPicPr>
        <xdr:cNvPr id="14" name="Picture 13">
          <a:extLst>
            <a:ext uri="{FF2B5EF4-FFF2-40B4-BE49-F238E27FC236}">
              <a16:creationId xmlns:a16="http://schemas.microsoft.com/office/drawing/2014/main" id="{D46AEBD7-A5D6-AE2A-D126-3EFB6B178C2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38650" y="933450"/>
          <a:ext cx="457200" cy="457200"/>
        </a:xfrm>
        <a:prstGeom prst="rect">
          <a:avLst/>
        </a:prstGeom>
      </xdr:spPr>
    </xdr:pic>
    <xdr:clientData/>
  </xdr:twoCellAnchor>
  <xdr:twoCellAnchor>
    <xdr:from>
      <xdr:col>17</xdr:col>
      <xdr:colOff>295275</xdr:colOff>
      <xdr:row>21</xdr:row>
      <xdr:rowOff>57150</xdr:rowOff>
    </xdr:from>
    <xdr:to>
      <xdr:col>19</xdr:col>
      <xdr:colOff>285750</xdr:colOff>
      <xdr:row>22</xdr:row>
      <xdr:rowOff>123825</xdr:rowOff>
    </xdr:to>
    <xdr:sp macro="" textlink="">
      <xdr:nvSpPr>
        <xdr:cNvPr id="15" name="Rectangle: Rounded Corners 14">
          <a:extLst>
            <a:ext uri="{FF2B5EF4-FFF2-40B4-BE49-F238E27FC236}">
              <a16:creationId xmlns:a16="http://schemas.microsoft.com/office/drawing/2014/main" id="{9CE564A8-9C32-A3C0-922D-DE9DDF3CC717}"/>
            </a:ext>
          </a:extLst>
        </xdr:cNvPr>
        <xdr:cNvSpPr/>
      </xdr:nvSpPr>
      <xdr:spPr>
        <a:xfrm>
          <a:off x="10658475" y="4171950"/>
          <a:ext cx="1209675" cy="257175"/>
        </a:xfrm>
        <a:prstGeom prst="roundRect">
          <a:avLst/>
        </a:prstGeom>
        <a:solidFill>
          <a:srgbClr val="FF4343"/>
        </a:solidFill>
        <a:ln>
          <a:solidFill>
            <a:srgbClr val="FF43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HIGH</a:t>
          </a:r>
        </a:p>
      </xdr:txBody>
    </xdr:sp>
    <xdr:clientData/>
  </xdr:twoCellAnchor>
  <xdr:twoCellAnchor>
    <xdr:from>
      <xdr:col>17</xdr:col>
      <xdr:colOff>297068</xdr:colOff>
      <xdr:row>23</xdr:row>
      <xdr:rowOff>66675</xdr:rowOff>
    </xdr:from>
    <xdr:to>
      <xdr:col>19</xdr:col>
      <xdr:colOff>287543</xdr:colOff>
      <xdr:row>24</xdr:row>
      <xdr:rowOff>133350</xdr:rowOff>
    </xdr:to>
    <xdr:sp macro="" textlink="">
      <xdr:nvSpPr>
        <xdr:cNvPr id="16" name="Rectangle: Rounded Corners 15">
          <a:extLst>
            <a:ext uri="{FF2B5EF4-FFF2-40B4-BE49-F238E27FC236}">
              <a16:creationId xmlns:a16="http://schemas.microsoft.com/office/drawing/2014/main" id="{EE7CF8E8-8DAD-4F41-B285-A055BEFBCCE4}"/>
            </a:ext>
          </a:extLst>
        </xdr:cNvPr>
        <xdr:cNvSpPr/>
      </xdr:nvSpPr>
      <xdr:spPr>
        <a:xfrm>
          <a:off x="10642276" y="4564592"/>
          <a:ext cx="1207559" cy="257175"/>
        </a:xfrm>
        <a:prstGeom prst="roundRect">
          <a:avLst/>
        </a:prstGeom>
        <a:solidFill>
          <a:srgbClr val="FF4343"/>
        </a:solidFill>
        <a:ln>
          <a:solidFill>
            <a:srgbClr val="FF434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HIGH</a:t>
          </a:r>
        </a:p>
      </xdr:txBody>
    </xdr:sp>
    <xdr:clientData/>
  </xdr:twoCellAnchor>
  <xdr:twoCellAnchor>
    <xdr:from>
      <xdr:col>17</xdr:col>
      <xdr:colOff>304153</xdr:colOff>
      <xdr:row>25</xdr:row>
      <xdr:rowOff>66675</xdr:rowOff>
    </xdr:from>
    <xdr:to>
      <xdr:col>19</xdr:col>
      <xdr:colOff>294628</xdr:colOff>
      <xdr:row>26</xdr:row>
      <xdr:rowOff>133350</xdr:rowOff>
    </xdr:to>
    <xdr:sp macro="" textlink="">
      <xdr:nvSpPr>
        <xdr:cNvPr id="17" name="Rectangle: Rounded Corners 16">
          <a:extLst>
            <a:ext uri="{FF2B5EF4-FFF2-40B4-BE49-F238E27FC236}">
              <a16:creationId xmlns:a16="http://schemas.microsoft.com/office/drawing/2014/main" id="{6A6796C2-D7A2-452D-850A-B819C31CBD47}"/>
            </a:ext>
          </a:extLst>
        </xdr:cNvPr>
        <xdr:cNvSpPr/>
      </xdr:nvSpPr>
      <xdr:spPr>
        <a:xfrm>
          <a:off x="10649361" y="4945592"/>
          <a:ext cx="1207559" cy="257175"/>
        </a:xfrm>
        <a:prstGeom prst="roundRect">
          <a:avLst/>
        </a:prstGeom>
        <a:solidFill>
          <a:srgbClr val="CC9B00"/>
        </a:solidFill>
        <a:ln>
          <a:solidFill>
            <a:srgbClr val="CC9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MEDIUM</a:t>
          </a:r>
        </a:p>
      </xdr:txBody>
    </xdr:sp>
    <xdr:clientData/>
  </xdr:twoCellAnchor>
  <xdr:twoCellAnchor>
    <xdr:from>
      <xdr:col>17</xdr:col>
      <xdr:colOff>295507</xdr:colOff>
      <xdr:row>27</xdr:row>
      <xdr:rowOff>57150</xdr:rowOff>
    </xdr:from>
    <xdr:to>
      <xdr:col>19</xdr:col>
      <xdr:colOff>285982</xdr:colOff>
      <xdr:row>28</xdr:row>
      <xdr:rowOff>123825</xdr:rowOff>
    </xdr:to>
    <xdr:sp macro="" textlink="">
      <xdr:nvSpPr>
        <xdr:cNvPr id="18" name="Rectangle: Rounded Corners 17">
          <a:extLst>
            <a:ext uri="{FF2B5EF4-FFF2-40B4-BE49-F238E27FC236}">
              <a16:creationId xmlns:a16="http://schemas.microsoft.com/office/drawing/2014/main" id="{16894C5D-31D3-42E9-B7B5-C15DF8A77CCD}"/>
            </a:ext>
          </a:extLst>
        </xdr:cNvPr>
        <xdr:cNvSpPr/>
      </xdr:nvSpPr>
      <xdr:spPr>
        <a:xfrm>
          <a:off x="10640715" y="5317067"/>
          <a:ext cx="1207559" cy="257175"/>
        </a:xfrm>
        <a:prstGeom prst="round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LOW</a:t>
          </a:r>
        </a:p>
      </xdr:txBody>
    </xdr:sp>
    <xdr:clientData/>
  </xdr:twoCellAnchor>
  <xdr:twoCellAnchor>
    <xdr:from>
      <xdr:col>17</xdr:col>
      <xdr:colOff>294861</xdr:colOff>
      <xdr:row>29</xdr:row>
      <xdr:rowOff>66675</xdr:rowOff>
    </xdr:from>
    <xdr:to>
      <xdr:col>19</xdr:col>
      <xdr:colOff>285336</xdr:colOff>
      <xdr:row>30</xdr:row>
      <xdr:rowOff>133350</xdr:rowOff>
    </xdr:to>
    <xdr:sp macro="" textlink="">
      <xdr:nvSpPr>
        <xdr:cNvPr id="19" name="Rectangle: Rounded Corners 18">
          <a:extLst>
            <a:ext uri="{FF2B5EF4-FFF2-40B4-BE49-F238E27FC236}">
              <a16:creationId xmlns:a16="http://schemas.microsoft.com/office/drawing/2014/main" id="{EABF8B8A-6557-41DB-BECD-A8020AE5C0A5}"/>
            </a:ext>
          </a:extLst>
        </xdr:cNvPr>
        <xdr:cNvSpPr/>
      </xdr:nvSpPr>
      <xdr:spPr>
        <a:xfrm>
          <a:off x="10640069" y="5707592"/>
          <a:ext cx="1207559" cy="257175"/>
        </a:xfrm>
        <a:prstGeom prst="roundRect">
          <a:avLst/>
        </a:prstGeom>
        <a:solidFill>
          <a:schemeClr val="accent6">
            <a:lumMod val="75000"/>
          </a:schemeClr>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LOW</a:t>
          </a:r>
        </a:p>
      </xdr:txBody>
    </xdr:sp>
    <xdr:clientData/>
  </xdr:twoCellAnchor>
  <xdr:twoCellAnchor editAs="oneCell">
    <xdr:from>
      <xdr:col>0</xdr:col>
      <xdr:colOff>26458</xdr:colOff>
      <xdr:row>29</xdr:row>
      <xdr:rowOff>37042</xdr:rowOff>
    </xdr:from>
    <xdr:to>
      <xdr:col>0</xdr:col>
      <xdr:colOff>346498</xdr:colOff>
      <xdr:row>30</xdr:row>
      <xdr:rowOff>166582</xdr:rowOff>
    </xdr:to>
    <xdr:pic>
      <xdr:nvPicPr>
        <xdr:cNvPr id="31" name="Picture 30">
          <a:extLst>
            <a:ext uri="{FF2B5EF4-FFF2-40B4-BE49-F238E27FC236}">
              <a16:creationId xmlns:a16="http://schemas.microsoft.com/office/drawing/2014/main" id="{67651E65-9106-48AB-2CE5-098A96112D6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458" y="5677959"/>
          <a:ext cx="320040" cy="320040"/>
        </a:xfrm>
        <a:prstGeom prst="rect">
          <a:avLst/>
        </a:prstGeom>
      </xdr:spPr>
    </xdr:pic>
    <xdr:clientData/>
  </xdr:twoCellAnchor>
  <xdr:twoCellAnchor editAs="oneCell">
    <xdr:from>
      <xdr:col>0</xdr:col>
      <xdr:colOff>44166</xdr:colOff>
      <xdr:row>27</xdr:row>
      <xdr:rowOff>28291</xdr:rowOff>
    </xdr:from>
    <xdr:to>
      <xdr:col>0</xdr:col>
      <xdr:colOff>364206</xdr:colOff>
      <xdr:row>28</xdr:row>
      <xdr:rowOff>157831</xdr:rowOff>
    </xdr:to>
    <xdr:pic>
      <xdr:nvPicPr>
        <xdr:cNvPr id="33" name="Picture 32">
          <a:extLst>
            <a:ext uri="{FF2B5EF4-FFF2-40B4-BE49-F238E27FC236}">
              <a16:creationId xmlns:a16="http://schemas.microsoft.com/office/drawing/2014/main" id="{6D2338BA-E7EF-7B07-BEB5-94F60ED751F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166" y="5288208"/>
          <a:ext cx="320040" cy="320040"/>
        </a:xfrm>
        <a:prstGeom prst="rect">
          <a:avLst/>
        </a:prstGeom>
      </xdr:spPr>
    </xdr:pic>
    <xdr:clientData/>
  </xdr:twoCellAnchor>
  <xdr:twoCellAnchor editAs="oneCell">
    <xdr:from>
      <xdr:col>0</xdr:col>
      <xdr:colOff>67167</xdr:colOff>
      <xdr:row>25</xdr:row>
      <xdr:rowOff>51292</xdr:rowOff>
    </xdr:from>
    <xdr:to>
      <xdr:col>0</xdr:col>
      <xdr:colOff>341487</xdr:colOff>
      <xdr:row>26</xdr:row>
      <xdr:rowOff>135112</xdr:rowOff>
    </xdr:to>
    <xdr:pic>
      <xdr:nvPicPr>
        <xdr:cNvPr id="35" name="Picture 34">
          <a:extLst>
            <a:ext uri="{FF2B5EF4-FFF2-40B4-BE49-F238E27FC236}">
              <a16:creationId xmlns:a16="http://schemas.microsoft.com/office/drawing/2014/main" id="{340AE9FC-69A4-AC7F-B4D7-6A869FCEEBB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167" y="4930209"/>
          <a:ext cx="274320" cy="274320"/>
        </a:xfrm>
        <a:prstGeom prst="rect">
          <a:avLst/>
        </a:prstGeom>
      </xdr:spPr>
    </xdr:pic>
    <xdr:clientData/>
  </xdr:twoCellAnchor>
  <xdr:twoCellAnchor editAs="oneCell">
    <xdr:from>
      <xdr:col>0</xdr:col>
      <xdr:colOff>63708</xdr:colOff>
      <xdr:row>23</xdr:row>
      <xdr:rowOff>31959</xdr:rowOff>
    </xdr:from>
    <xdr:to>
      <xdr:col>0</xdr:col>
      <xdr:colOff>383748</xdr:colOff>
      <xdr:row>24</xdr:row>
      <xdr:rowOff>161499</xdr:rowOff>
    </xdr:to>
    <xdr:pic>
      <xdr:nvPicPr>
        <xdr:cNvPr id="37" name="Picture 36">
          <a:extLst>
            <a:ext uri="{FF2B5EF4-FFF2-40B4-BE49-F238E27FC236}">
              <a16:creationId xmlns:a16="http://schemas.microsoft.com/office/drawing/2014/main" id="{C8609128-FB5D-846E-F941-BB6213EFF9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3708" y="4529876"/>
          <a:ext cx="320040" cy="320040"/>
        </a:xfrm>
        <a:prstGeom prst="rect">
          <a:avLst/>
        </a:prstGeom>
      </xdr:spPr>
    </xdr:pic>
    <xdr:clientData/>
  </xdr:twoCellAnchor>
  <xdr:twoCellAnchor editAs="oneCell">
    <xdr:from>
      <xdr:col>0</xdr:col>
      <xdr:colOff>54960</xdr:colOff>
      <xdr:row>21</xdr:row>
      <xdr:rowOff>28499</xdr:rowOff>
    </xdr:from>
    <xdr:to>
      <xdr:col>0</xdr:col>
      <xdr:colOff>375000</xdr:colOff>
      <xdr:row>22</xdr:row>
      <xdr:rowOff>158039</xdr:rowOff>
    </xdr:to>
    <xdr:pic>
      <xdr:nvPicPr>
        <xdr:cNvPr id="39" name="Picture 38">
          <a:extLst>
            <a:ext uri="{FF2B5EF4-FFF2-40B4-BE49-F238E27FC236}">
              <a16:creationId xmlns:a16="http://schemas.microsoft.com/office/drawing/2014/main" id="{778322CD-6D32-AB19-33BA-D763AF9486E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4960" y="4145416"/>
          <a:ext cx="320040" cy="3200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104781</xdr:colOff>
      <xdr:row>63</xdr:row>
      <xdr:rowOff>9531</xdr:rowOff>
    </xdr:from>
    <xdr:to>
      <xdr:col>20</xdr:col>
      <xdr:colOff>266706</xdr:colOff>
      <xdr:row>77</xdr:row>
      <xdr:rowOff>85731</xdr:rowOff>
    </xdr:to>
    <xdr:graphicFrame macro="">
      <xdr:nvGraphicFramePr>
        <xdr:cNvPr id="2" name="Chart 1">
          <a:extLst>
            <a:ext uri="{FF2B5EF4-FFF2-40B4-BE49-F238E27FC236}">
              <a16:creationId xmlns:a16="http://schemas.microsoft.com/office/drawing/2014/main" id="{E570F331-AAED-77B6-1661-16F72215E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495300</xdr:colOff>
      <xdr:row>1</xdr:row>
      <xdr:rowOff>33337</xdr:rowOff>
    </xdr:from>
    <xdr:to>
      <xdr:col>20</xdr:col>
      <xdr:colOff>485775</xdr:colOff>
      <xdr:row>9</xdr:row>
      <xdr:rowOff>152400</xdr:rowOff>
    </xdr:to>
    <xdr:graphicFrame macro="">
      <xdr:nvGraphicFramePr>
        <xdr:cNvPr id="4" name="Chart 3">
          <a:extLst>
            <a:ext uri="{FF2B5EF4-FFF2-40B4-BE49-F238E27FC236}">
              <a16:creationId xmlns:a16="http://schemas.microsoft.com/office/drawing/2014/main" id="{6E354C97-F3B5-A156-5D20-6D06EC2443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314325</xdr:colOff>
      <xdr:row>24</xdr:row>
      <xdr:rowOff>185737</xdr:rowOff>
    </xdr:from>
    <xdr:to>
      <xdr:col>16</xdr:col>
      <xdr:colOff>276225</xdr:colOff>
      <xdr:row>39</xdr:row>
      <xdr:rowOff>52387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10464CC4-B1AD-EA50-F33D-E02CFF40452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172200" y="52911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DA68-2ABA-4EB6-998A-FD272D63CE29}">
  <dimension ref="A1:M57"/>
  <sheetViews>
    <sheetView showGridLines="0" topLeftCell="H1" zoomScaleNormal="100" workbookViewId="0">
      <selection sqref="A1:U1"/>
    </sheetView>
  </sheetViews>
  <sheetFormatPr defaultRowHeight="15"/>
  <cols>
    <col min="1" max="1" width="52.42578125" hidden="1" customWidth="1"/>
    <col min="2" max="2" width="10.28515625" hidden="1" customWidth="1"/>
    <col min="3" max="6" width="10.7109375" hidden="1" customWidth="1"/>
    <col min="7" max="7" width="0" hidden="1" customWidth="1"/>
    <col min="8" max="8" width="52.42578125" bestFit="1" customWidth="1"/>
    <col min="9" max="9" width="12.5703125" bestFit="1" customWidth="1"/>
    <col min="10" max="12" width="10.7109375" bestFit="1" customWidth="1"/>
    <col min="13" max="13" width="10.28515625" bestFit="1" customWidth="1"/>
  </cols>
  <sheetData>
    <row r="1" spans="1:13">
      <c r="A1" t="s">
        <v>57</v>
      </c>
      <c r="H1" t="s">
        <v>59</v>
      </c>
    </row>
    <row r="2" spans="1:13">
      <c r="A2" s="7" t="s">
        <v>0</v>
      </c>
      <c r="B2" s="7" t="s">
        <v>1</v>
      </c>
      <c r="C2" s="8">
        <v>46022</v>
      </c>
      <c r="D2" s="8">
        <v>45657</v>
      </c>
      <c r="E2" s="8">
        <v>45291</v>
      </c>
      <c r="F2" s="8">
        <v>44926</v>
      </c>
      <c r="H2" s="7" t="s">
        <v>0</v>
      </c>
      <c r="I2" s="8">
        <v>44926</v>
      </c>
      <c r="J2" s="8">
        <v>45291</v>
      </c>
      <c r="K2" s="8">
        <v>45657</v>
      </c>
      <c r="L2" s="8">
        <v>46022</v>
      </c>
      <c r="M2" s="7" t="s">
        <v>1</v>
      </c>
    </row>
    <row r="3" spans="1:13">
      <c r="A3" s="3" t="s">
        <v>2</v>
      </c>
      <c r="B3" s="4">
        <v>53687000</v>
      </c>
      <c r="C3" s="4">
        <v>52017000</v>
      </c>
      <c r="D3" s="4">
        <v>43978000</v>
      </c>
      <c r="E3" s="4">
        <v>37281000</v>
      </c>
      <c r="F3" s="4">
        <v>31877000</v>
      </c>
      <c r="H3" s="3" t="s">
        <v>2</v>
      </c>
      <c r="I3" s="4">
        <v>4095135</v>
      </c>
      <c r="J3" s="4">
        <v>4403589</v>
      </c>
      <c r="K3" s="4">
        <v>5786016</v>
      </c>
      <c r="L3" s="4">
        <v>6316261</v>
      </c>
      <c r="M3" s="4">
        <v>6516578</v>
      </c>
    </row>
    <row r="4" spans="1:13">
      <c r="A4" s="3" t="s">
        <v>3</v>
      </c>
      <c r="B4" s="4">
        <v>53687000</v>
      </c>
      <c r="C4" s="4">
        <v>52017000</v>
      </c>
      <c r="D4" s="4">
        <v>43978000</v>
      </c>
      <c r="E4" s="4">
        <v>37281000</v>
      </c>
      <c r="F4" s="4">
        <v>31877000</v>
      </c>
      <c r="H4" s="3" t="s">
        <v>3</v>
      </c>
      <c r="I4" s="4">
        <v>4095135</v>
      </c>
      <c r="J4" s="4">
        <v>4403589</v>
      </c>
      <c r="K4" s="4">
        <v>5786016</v>
      </c>
      <c r="L4" s="4">
        <v>6316261</v>
      </c>
      <c r="M4" s="4">
        <v>6516578</v>
      </c>
    </row>
    <row r="5" spans="1:13">
      <c r="A5" s="3" t="s">
        <v>4</v>
      </c>
      <c r="B5" s="4">
        <v>31659000</v>
      </c>
      <c r="C5" s="4">
        <v>31338000</v>
      </c>
      <c r="D5" s="4">
        <v>26651000</v>
      </c>
      <c r="E5" s="4">
        <v>22457000</v>
      </c>
      <c r="F5" s="4">
        <v>19659000</v>
      </c>
      <c r="H5" s="3" t="s">
        <v>4</v>
      </c>
      <c r="I5" s="4">
        <v>2435736</v>
      </c>
      <c r="J5" s="4">
        <v>2543954</v>
      </c>
      <c r="K5" s="4">
        <v>3337714</v>
      </c>
      <c r="L5" s="4">
        <v>3697653</v>
      </c>
      <c r="M5" s="4">
        <v>3698923</v>
      </c>
    </row>
    <row r="6" spans="1:13">
      <c r="A6" s="3" t="s">
        <v>5</v>
      </c>
      <c r="B6" s="4">
        <v>22028000</v>
      </c>
      <c r="C6" s="4">
        <v>20679000</v>
      </c>
      <c r="D6" s="4">
        <v>17327000</v>
      </c>
      <c r="E6" s="4">
        <v>14824000</v>
      </c>
      <c r="F6" s="4">
        <v>12218000</v>
      </c>
      <c r="H6" s="3" t="s">
        <v>5</v>
      </c>
      <c r="I6" s="4">
        <v>1659399</v>
      </c>
      <c r="J6" s="4">
        <v>1859635</v>
      </c>
      <c r="K6" s="4">
        <v>2448302</v>
      </c>
      <c r="L6" s="4">
        <v>2618608</v>
      </c>
      <c r="M6" s="4">
        <v>2817655</v>
      </c>
    </row>
    <row r="7" spans="1:13">
      <c r="A7" s="3" t="s">
        <v>6</v>
      </c>
      <c r="B7" s="4">
        <v>15768000</v>
      </c>
      <c r="C7" s="4">
        <v>15114000</v>
      </c>
      <c r="D7" s="4">
        <v>14528000</v>
      </c>
      <c r="E7" s="4">
        <v>13714000</v>
      </c>
      <c r="F7" s="4">
        <v>14050000</v>
      </c>
      <c r="H7" s="3" t="s">
        <v>6</v>
      </c>
      <c r="I7" s="4">
        <v>3118315</v>
      </c>
      <c r="J7" s="4">
        <v>2335239</v>
      </c>
      <c r="K7" s="4">
        <v>2567214</v>
      </c>
      <c r="L7" s="4">
        <v>2806982</v>
      </c>
      <c r="M7" s="4">
        <v>2982514</v>
      </c>
    </row>
    <row r="8" spans="1:13">
      <c r="A8" s="3" t="s">
        <v>7</v>
      </c>
      <c r="B8" s="4">
        <v>8549000</v>
      </c>
      <c r="C8" s="4">
        <v>8139000</v>
      </c>
      <c r="D8" s="4">
        <v>7976000</v>
      </c>
      <c r="E8" s="4">
        <v>7038000</v>
      </c>
      <c r="F8" s="4">
        <v>7892000</v>
      </c>
      <c r="H8" s="3" t="s">
        <v>7</v>
      </c>
      <c r="I8" s="4">
        <v>1817692</v>
      </c>
      <c r="J8" s="4">
        <v>1352084</v>
      </c>
      <c r="K8" s="4">
        <v>1726320</v>
      </c>
      <c r="L8" s="4">
        <v>1877231</v>
      </c>
      <c r="M8" s="4">
        <v>2023086</v>
      </c>
    </row>
    <row r="9" spans="1:13">
      <c r="A9" s="3" t="s">
        <v>8</v>
      </c>
      <c r="B9" s="4">
        <v>3382000</v>
      </c>
      <c r="C9" s="4">
        <v>3241000</v>
      </c>
      <c r="D9" s="4">
        <v>3639000</v>
      </c>
      <c r="E9" s="4">
        <v>2682000</v>
      </c>
      <c r="F9" s="4">
        <v>3136000</v>
      </c>
      <c r="H9" s="3" t="s">
        <v>8</v>
      </c>
      <c r="I9" s="4">
        <v>1286180</v>
      </c>
      <c r="J9" s="4">
        <v>871080</v>
      </c>
      <c r="K9" s="4">
        <v>937348</v>
      </c>
      <c r="L9" s="4">
        <v>1002130</v>
      </c>
      <c r="M9" s="4">
        <v>1057066</v>
      </c>
    </row>
    <row r="10" spans="1:13">
      <c r="A10" s="3" t="s">
        <v>9</v>
      </c>
      <c r="B10" s="4">
        <v>3382000</v>
      </c>
      <c r="C10" s="4">
        <v>3241000</v>
      </c>
      <c r="D10" s="4">
        <v>3639000</v>
      </c>
      <c r="E10" s="4">
        <v>2682000</v>
      </c>
      <c r="F10" s="4">
        <v>3136000</v>
      </c>
      <c r="H10" s="3" t="s">
        <v>9</v>
      </c>
      <c r="I10" s="4">
        <v>1286180</v>
      </c>
      <c r="J10" s="4">
        <v>871080</v>
      </c>
      <c r="K10" s="4">
        <v>937348</v>
      </c>
      <c r="L10" s="4">
        <v>1002130</v>
      </c>
      <c r="M10" s="4">
        <v>1057066</v>
      </c>
    </row>
    <row r="11" spans="1:13">
      <c r="A11" s="3" t="s">
        <v>10</v>
      </c>
      <c r="B11" s="4">
        <v>5167000</v>
      </c>
      <c r="C11" s="4">
        <v>4898000</v>
      </c>
      <c r="D11" s="4">
        <v>4337000</v>
      </c>
      <c r="E11" s="4">
        <v>4356000</v>
      </c>
      <c r="F11" s="4">
        <v>4756000</v>
      </c>
      <c r="H11" s="3" t="s">
        <v>10</v>
      </c>
      <c r="I11" s="4">
        <v>531512</v>
      </c>
      <c r="J11" s="4">
        <v>481004</v>
      </c>
      <c r="K11" s="4">
        <v>788972</v>
      </c>
      <c r="L11" s="4">
        <v>875101</v>
      </c>
      <c r="M11" s="4">
        <v>966020</v>
      </c>
    </row>
    <row r="12" spans="1:13">
      <c r="A12" s="3" t="s">
        <v>11</v>
      </c>
      <c r="B12" s="4">
        <v>3538000</v>
      </c>
      <c r="C12" s="4">
        <v>3402000</v>
      </c>
      <c r="D12" s="4">
        <v>3109000</v>
      </c>
      <c r="E12" s="4">
        <v>3164000</v>
      </c>
      <c r="F12" s="4">
        <v>2798000</v>
      </c>
      <c r="H12" s="3" t="s">
        <v>11</v>
      </c>
      <c r="I12" s="4">
        <v>856777</v>
      </c>
      <c r="J12" s="4">
        <v>555916</v>
      </c>
      <c r="K12" s="4">
        <v>397073</v>
      </c>
      <c r="L12" s="4">
        <v>451419</v>
      </c>
      <c r="M12" s="4">
        <v>463076</v>
      </c>
    </row>
    <row r="13" spans="1:13">
      <c r="A13" s="3" t="s">
        <v>12</v>
      </c>
      <c r="B13" s="4">
        <v>732000</v>
      </c>
      <c r="C13" s="4">
        <v>719000</v>
      </c>
      <c r="D13" s="4">
        <v>711000</v>
      </c>
      <c r="E13" s="4">
        <v>823000</v>
      </c>
      <c r="F13" s="4">
        <v>947000</v>
      </c>
      <c r="H13" s="3" t="s">
        <v>14</v>
      </c>
      <c r="I13" s="4">
        <v>443846</v>
      </c>
      <c r="J13" s="4">
        <v>427239</v>
      </c>
      <c r="K13" s="4">
        <v>443821</v>
      </c>
      <c r="L13" s="4">
        <v>478332</v>
      </c>
      <c r="M13" s="4">
        <v>496352</v>
      </c>
    </row>
    <row r="14" spans="1:13">
      <c r="A14" s="3" t="s">
        <v>13</v>
      </c>
      <c r="B14" s="4">
        <v>732000</v>
      </c>
      <c r="C14" s="4">
        <v>719000</v>
      </c>
      <c r="D14" s="4">
        <v>711000</v>
      </c>
      <c r="E14" s="4">
        <v>823000</v>
      </c>
      <c r="F14" s="4">
        <v>947000</v>
      </c>
      <c r="G14" s="10"/>
      <c r="H14" s="3" t="s">
        <v>15</v>
      </c>
      <c r="I14" s="4">
        <v>-1458916</v>
      </c>
      <c r="J14" s="4">
        <v>-475604</v>
      </c>
      <c r="K14" s="4">
        <v>-118912</v>
      </c>
      <c r="L14" s="4">
        <v>-188374</v>
      </c>
      <c r="M14" s="4">
        <v>-164859</v>
      </c>
    </row>
    <row r="15" spans="1:13">
      <c r="A15" s="3" t="s">
        <v>14</v>
      </c>
      <c r="B15" s="4">
        <v>2949000</v>
      </c>
      <c r="C15" s="4">
        <v>2854000</v>
      </c>
      <c r="D15" s="4">
        <v>2732000</v>
      </c>
      <c r="E15" s="4">
        <v>2689000</v>
      </c>
      <c r="F15" s="4">
        <v>2413000</v>
      </c>
      <c r="H15" s="3" t="s">
        <v>16</v>
      </c>
      <c r="I15" s="4">
        <v>27407</v>
      </c>
      <c r="J15" s="4">
        <v>-26223</v>
      </c>
      <c r="K15" s="4">
        <v>-28921</v>
      </c>
      <c r="L15" s="4">
        <v>-20755</v>
      </c>
      <c r="M15" s="4">
        <v>-19830</v>
      </c>
    </row>
    <row r="16" spans="1:13">
      <c r="A16" s="3" t="s">
        <v>15</v>
      </c>
      <c r="B16" s="3">
        <v>6260000</v>
      </c>
      <c r="C16" s="3">
        <v>5565000</v>
      </c>
      <c r="D16" s="3">
        <v>2799000</v>
      </c>
      <c r="E16" s="3">
        <v>1110000</v>
      </c>
      <c r="F16" s="3">
        <v>-1832000</v>
      </c>
      <c r="H16" s="3" t="s">
        <v>17</v>
      </c>
      <c r="I16" s="3">
        <v>47142</v>
      </c>
      <c r="J16" s="3">
        <v>145728</v>
      </c>
      <c r="K16" s="3">
        <v>166304</v>
      </c>
      <c r="L16" s="3">
        <v>0</v>
      </c>
      <c r="M16" s="3">
        <v>0</v>
      </c>
    </row>
    <row r="17" spans="1:13">
      <c r="A17" s="3" t="s">
        <v>16</v>
      </c>
      <c r="B17" s="3">
        <v>306000</v>
      </c>
      <c r="C17" s="3">
        <v>303000</v>
      </c>
      <c r="D17" s="3">
        <v>198000</v>
      </c>
      <c r="E17" s="3">
        <v>-149000</v>
      </c>
      <c r="F17" s="3">
        <v>-426000</v>
      </c>
      <c r="H17" s="3" t="s">
        <v>18</v>
      </c>
      <c r="I17" s="3">
        <v>19735</v>
      </c>
      <c r="J17" s="3">
        <v>26223</v>
      </c>
      <c r="K17" s="3">
        <v>28921</v>
      </c>
      <c r="L17" s="3">
        <v>20755</v>
      </c>
      <c r="M17" s="3">
        <v>19830</v>
      </c>
    </row>
    <row r="18" spans="1:13">
      <c r="A18" s="3" t="s">
        <v>17</v>
      </c>
      <c r="B18" s="4">
        <v>749000</v>
      </c>
      <c r="C18" s="4">
        <v>743000</v>
      </c>
      <c r="D18" s="4">
        <v>721000</v>
      </c>
      <c r="E18" s="4">
        <v>484000</v>
      </c>
      <c r="F18" s="4">
        <v>139000</v>
      </c>
      <c r="H18" s="3" t="s">
        <v>19</v>
      </c>
      <c r="I18" s="4">
        <v>-147130</v>
      </c>
      <c r="J18" s="4">
        <v>170123</v>
      </c>
      <c r="K18" s="4">
        <v>173183</v>
      </c>
      <c r="L18" s="4">
        <v>155882</v>
      </c>
      <c r="M18" s="4">
        <v>145293</v>
      </c>
    </row>
    <row r="19" spans="1:13">
      <c r="A19" s="3" t="s">
        <v>18</v>
      </c>
      <c r="B19" s="4">
        <v>443000</v>
      </c>
      <c r="C19" s="4">
        <v>440000</v>
      </c>
      <c r="D19" s="4">
        <v>523000</v>
      </c>
      <c r="E19" s="4">
        <v>633000</v>
      </c>
      <c r="F19" s="4">
        <v>565000</v>
      </c>
      <c r="H19" s="3" t="s">
        <v>20</v>
      </c>
      <c r="I19" s="4">
        <v>-4674</v>
      </c>
      <c r="J19" s="4">
        <v>3414</v>
      </c>
      <c r="K19" s="4">
        <v>-7384</v>
      </c>
      <c r="L19" s="4">
        <v>0</v>
      </c>
      <c r="M19" s="4">
        <v>0</v>
      </c>
    </row>
    <row r="20" spans="1:13">
      <c r="A20" s="3" t="s">
        <v>19</v>
      </c>
      <c r="B20" s="4">
        <v>-1655000</v>
      </c>
      <c r="C20" s="4">
        <v>-68000</v>
      </c>
      <c r="D20" s="4">
        <v>1128000</v>
      </c>
      <c r="E20" s="4">
        <v>1360000</v>
      </c>
      <c r="F20" s="4">
        <v>-7168000</v>
      </c>
      <c r="H20" s="3" t="s">
        <v>58</v>
      </c>
      <c r="I20" s="4">
        <v>0</v>
      </c>
      <c r="J20" s="4">
        <v>12926</v>
      </c>
      <c r="K20" s="4">
        <v>0</v>
      </c>
      <c r="L20" s="4">
        <v>0</v>
      </c>
      <c r="M20" s="4">
        <v>0</v>
      </c>
    </row>
    <row r="21" spans="1:13">
      <c r="A21" s="3" t="s">
        <v>20</v>
      </c>
      <c r="B21" s="4">
        <v>-1604000</v>
      </c>
      <c r="C21" s="4">
        <v>-8000</v>
      </c>
      <c r="D21" s="4">
        <v>1441000</v>
      </c>
      <c r="E21" s="4">
        <v>1354000</v>
      </c>
      <c r="F21" s="4">
        <v>-7001000</v>
      </c>
      <c r="H21" s="3" t="s">
        <v>21</v>
      </c>
      <c r="I21" s="4">
        <v>-135714</v>
      </c>
      <c r="J21" s="4">
        <v>0</v>
      </c>
      <c r="K21" s="4">
        <v>0</v>
      </c>
      <c r="L21" s="4">
        <v>0</v>
      </c>
      <c r="M21" s="4">
        <v>0</v>
      </c>
    </row>
    <row r="22" spans="1:13">
      <c r="A22" s="3" t="s">
        <v>21</v>
      </c>
      <c r="B22" s="4">
        <v>0</v>
      </c>
      <c r="C22" s="4">
        <v>0</v>
      </c>
      <c r="D22" s="4">
        <v>-236000</v>
      </c>
      <c r="E22" s="4">
        <v>204000</v>
      </c>
      <c r="F22" s="4">
        <v>-168000</v>
      </c>
      <c r="H22" s="3" t="s">
        <v>22</v>
      </c>
      <c r="I22" s="4">
        <v>0</v>
      </c>
      <c r="J22" s="4">
        <v>0</v>
      </c>
      <c r="K22" s="4">
        <v>0</v>
      </c>
      <c r="L22" s="4">
        <v>0</v>
      </c>
      <c r="M22" s="4">
        <v>0</v>
      </c>
    </row>
    <row r="23" spans="1:13">
      <c r="A23" s="3" t="s">
        <v>22</v>
      </c>
      <c r="B23" s="4">
        <v>0</v>
      </c>
      <c r="C23" s="4">
        <v>0</v>
      </c>
      <c r="D23" s="4">
        <v>236000</v>
      </c>
      <c r="E23" s="4">
        <v>0</v>
      </c>
      <c r="F23" s="4">
        <v>0</v>
      </c>
      <c r="H23" s="3" t="s">
        <v>23</v>
      </c>
      <c r="I23" s="4">
        <v>135714</v>
      </c>
      <c r="J23" s="4">
        <v>0</v>
      </c>
      <c r="K23" s="4">
        <v>0</v>
      </c>
      <c r="L23" s="4">
        <v>0</v>
      </c>
      <c r="M23" s="4">
        <v>0</v>
      </c>
    </row>
    <row r="24" spans="1:13">
      <c r="A24" s="3" t="s">
        <v>23</v>
      </c>
      <c r="B24" s="4">
        <v>0</v>
      </c>
      <c r="C24" s="4">
        <v>0</v>
      </c>
      <c r="D24" s="4">
        <v>0</v>
      </c>
      <c r="E24" s="4">
        <v>0</v>
      </c>
      <c r="F24" s="4">
        <v>182000</v>
      </c>
      <c r="H24" s="3" t="s">
        <v>25</v>
      </c>
      <c r="I24" s="4">
        <v>-6742</v>
      </c>
      <c r="J24" s="4">
        <v>170123</v>
      </c>
      <c r="K24" s="4">
        <v>173183</v>
      </c>
      <c r="L24" s="4">
        <v>155882</v>
      </c>
      <c r="M24" s="4">
        <v>145293</v>
      </c>
    </row>
    <row r="25" spans="1:13">
      <c r="A25" s="3" t="s">
        <v>24</v>
      </c>
      <c r="B25" s="4">
        <v>0</v>
      </c>
      <c r="C25" s="4">
        <v>0</v>
      </c>
      <c r="D25" s="4">
        <v>0</v>
      </c>
      <c r="E25" s="4">
        <v>204000</v>
      </c>
      <c r="F25" s="4">
        <v>14000</v>
      </c>
      <c r="H25" s="3" t="s">
        <v>26</v>
      </c>
      <c r="I25" s="4">
        <v>-1578639</v>
      </c>
      <c r="J25" s="4">
        <v>-331704</v>
      </c>
      <c r="K25" s="4">
        <v>25350</v>
      </c>
      <c r="L25" s="4">
        <v>-53247</v>
      </c>
      <c r="M25" s="4">
        <v>-39396</v>
      </c>
    </row>
    <row r="26" spans="1:13">
      <c r="A26" s="3" t="s">
        <v>25</v>
      </c>
      <c r="B26" s="4">
        <v>-51000</v>
      </c>
      <c r="C26" s="4">
        <v>-60000</v>
      </c>
      <c r="D26" s="4">
        <v>-77000</v>
      </c>
      <c r="E26" s="4">
        <v>-198000</v>
      </c>
      <c r="F26" s="4">
        <v>1000</v>
      </c>
      <c r="H26" s="3" t="s">
        <v>27</v>
      </c>
      <c r="I26" s="4">
        <v>5872</v>
      </c>
      <c r="J26" s="4">
        <v>8616</v>
      </c>
      <c r="K26" s="4">
        <v>2566</v>
      </c>
      <c r="L26" s="4">
        <v>-2897255</v>
      </c>
      <c r="M26" s="4">
        <v>-2895087</v>
      </c>
    </row>
    <row r="27" spans="1:13">
      <c r="A27" s="3" t="s">
        <v>26</v>
      </c>
      <c r="B27" s="4">
        <v>4911000</v>
      </c>
      <c r="C27" s="4">
        <v>5800000</v>
      </c>
      <c r="D27" s="4">
        <v>4125000</v>
      </c>
      <c r="E27" s="4">
        <v>2321000</v>
      </c>
      <c r="F27" s="4">
        <v>-9426000</v>
      </c>
      <c r="H27" s="3" t="s">
        <v>29</v>
      </c>
      <c r="I27" s="4">
        <v>-1584511</v>
      </c>
      <c r="J27" s="4">
        <v>-340320</v>
      </c>
      <c r="K27" s="4">
        <v>22784</v>
      </c>
      <c r="L27" s="4">
        <v>2844008</v>
      </c>
      <c r="M27" s="4">
        <v>2855691</v>
      </c>
    </row>
    <row r="28" spans="1:13">
      <c r="A28" s="3" t="s">
        <v>27</v>
      </c>
      <c r="B28" s="4">
        <v>-3750000</v>
      </c>
      <c r="C28" s="4">
        <v>-4346000</v>
      </c>
      <c r="D28" s="4">
        <v>-5758000</v>
      </c>
      <c r="E28" s="4">
        <v>213000</v>
      </c>
      <c r="F28" s="4">
        <v>-181000</v>
      </c>
      <c r="H28" s="3" t="s">
        <v>30</v>
      </c>
      <c r="I28" s="4">
        <v>-1584511</v>
      </c>
      <c r="J28" s="4">
        <v>-340320</v>
      </c>
      <c r="K28" s="4">
        <v>22784</v>
      </c>
      <c r="L28" s="4">
        <v>2844008</v>
      </c>
      <c r="M28" s="4">
        <v>2855691</v>
      </c>
    </row>
    <row r="29" spans="1:13">
      <c r="A29" s="3" t="s">
        <v>28</v>
      </c>
      <c r="B29" s="4">
        <v>-60000</v>
      </c>
      <c r="C29" s="4">
        <v>-53000</v>
      </c>
      <c r="D29" s="4">
        <v>-38000</v>
      </c>
      <c r="E29" s="4">
        <v>48000</v>
      </c>
      <c r="F29" s="4">
        <v>107000</v>
      </c>
      <c r="H29" s="3" t="s">
        <v>31</v>
      </c>
      <c r="I29" s="4">
        <v>-1584511</v>
      </c>
      <c r="J29" s="4">
        <v>-340320</v>
      </c>
      <c r="K29" s="4">
        <v>22784</v>
      </c>
      <c r="L29" s="4">
        <v>2844008</v>
      </c>
      <c r="M29" s="4">
        <v>2855691</v>
      </c>
    </row>
    <row r="30" spans="1:13">
      <c r="A30" s="3" t="s">
        <v>29</v>
      </c>
      <c r="B30" s="4">
        <v>8540000</v>
      </c>
      <c r="C30" s="4">
        <v>10053000</v>
      </c>
      <c r="D30" s="4">
        <v>9856000</v>
      </c>
      <c r="E30" s="4">
        <v>1887000</v>
      </c>
      <c r="F30" s="4">
        <v>-9141000</v>
      </c>
      <c r="H30" s="3" t="s">
        <v>32</v>
      </c>
      <c r="I30" s="4">
        <v>-1584511</v>
      </c>
      <c r="J30" s="4">
        <v>-340320</v>
      </c>
      <c r="K30" s="4">
        <v>22784</v>
      </c>
      <c r="L30" s="4">
        <v>2844008</v>
      </c>
      <c r="M30" s="4">
        <v>2855691</v>
      </c>
    </row>
    <row r="31" spans="1:13">
      <c r="A31" s="3" t="s">
        <v>30</v>
      </c>
      <c r="B31" s="4">
        <v>8540000</v>
      </c>
      <c r="C31" s="4">
        <v>10053000</v>
      </c>
      <c r="D31" s="4">
        <v>9856000</v>
      </c>
      <c r="E31" s="4">
        <v>1887000</v>
      </c>
      <c r="F31" s="4">
        <v>-9141000</v>
      </c>
      <c r="H31" s="3" t="s">
        <v>35</v>
      </c>
      <c r="I31" s="4">
        <v>-1584511</v>
      </c>
      <c r="J31" s="4">
        <v>-340320</v>
      </c>
      <c r="K31" s="4">
        <v>22784</v>
      </c>
      <c r="L31" s="4">
        <v>2844008</v>
      </c>
      <c r="M31" s="4">
        <v>2855691</v>
      </c>
    </row>
    <row r="32" spans="1:13">
      <c r="A32" s="3" t="s">
        <v>31</v>
      </c>
      <c r="B32" s="4">
        <v>8601000</v>
      </c>
      <c r="C32" s="4">
        <v>10093000</v>
      </c>
      <c r="D32" s="4">
        <v>9845000</v>
      </c>
      <c r="E32" s="4">
        <v>2156000</v>
      </c>
      <c r="F32" s="4">
        <v>-9138000</v>
      </c>
      <c r="H32" s="3" t="s">
        <v>36</v>
      </c>
      <c r="I32" s="4">
        <v>-4.47</v>
      </c>
      <c r="J32" s="4">
        <v>-0.88</v>
      </c>
      <c r="K32" s="4">
        <v>0.06</v>
      </c>
      <c r="L32" s="4">
        <v>6.92</v>
      </c>
      <c r="M32" s="4">
        <v>6.95</v>
      </c>
    </row>
    <row r="33" spans="1:13">
      <c r="A33" s="3" t="s">
        <v>32</v>
      </c>
      <c r="B33" s="4">
        <v>8601000</v>
      </c>
      <c r="C33" s="4">
        <v>10093000</v>
      </c>
      <c r="D33" s="4">
        <v>9845000</v>
      </c>
      <c r="E33" s="4">
        <v>2156000</v>
      </c>
      <c r="F33" s="4">
        <v>-9138000</v>
      </c>
      <c r="H33" s="3" t="s">
        <v>37</v>
      </c>
      <c r="I33" s="4">
        <v>-4.47</v>
      </c>
      <c r="J33" s="4">
        <v>-0.88</v>
      </c>
      <c r="K33" s="4">
        <v>0.06</v>
      </c>
      <c r="L33" s="4">
        <v>6.81</v>
      </c>
      <c r="M33" s="4">
        <v>6.84</v>
      </c>
    </row>
    <row r="34" spans="1:13">
      <c r="A34" s="3" t="s">
        <v>33</v>
      </c>
      <c r="B34" s="4">
        <v>-61000</v>
      </c>
      <c r="C34" s="4">
        <v>-40000</v>
      </c>
      <c r="D34" s="4">
        <v>11000</v>
      </c>
      <c r="E34" s="4">
        <v>-269000</v>
      </c>
      <c r="F34" s="4">
        <v>-3000</v>
      </c>
      <c r="H34" s="3" t="s">
        <v>38</v>
      </c>
      <c r="I34" s="4">
        <v>354731</v>
      </c>
      <c r="J34" s="4">
        <v>385335</v>
      </c>
      <c r="K34" s="4">
        <v>409181</v>
      </c>
      <c r="L34" s="4">
        <v>410840</v>
      </c>
      <c r="M34" s="4">
        <v>404846</v>
      </c>
    </row>
    <row r="35" spans="1:13">
      <c r="A35" s="3" t="s">
        <v>34</v>
      </c>
      <c r="B35" s="3">
        <v>-24000</v>
      </c>
      <c r="C35" s="3">
        <v>-37000</v>
      </c>
      <c r="D35" s="3">
        <v>-49000</v>
      </c>
      <c r="E35" s="3">
        <v>-60000</v>
      </c>
      <c r="F35" s="3">
        <v>-41000</v>
      </c>
      <c r="H35" s="3" t="s">
        <v>39</v>
      </c>
      <c r="I35" s="3">
        <v>354731</v>
      </c>
      <c r="J35" s="3">
        <v>385335</v>
      </c>
      <c r="K35" s="3">
        <v>413651</v>
      </c>
      <c r="L35" s="3">
        <v>417659</v>
      </c>
      <c r="M35" s="3">
        <v>412274.75</v>
      </c>
    </row>
    <row r="36" spans="1:13">
      <c r="A36" s="3" t="s">
        <v>35</v>
      </c>
      <c r="B36" s="4">
        <v>8516000</v>
      </c>
      <c r="C36" s="4">
        <v>10016000</v>
      </c>
      <c r="D36" s="4">
        <v>9807000</v>
      </c>
      <c r="E36" s="4">
        <v>1827000</v>
      </c>
      <c r="F36" s="4">
        <v>-9182000</v>
      </c>
      <c r="H36" s="3" t="s">
        <v>40</v>
      </c>
      <c r="I36" s="4">
        <v>-1458916</v>
      </c>
      <c r="J36" s="4">
        <v>-475604</v>
      </c>
      <c r="K36" s="4">
        <v>-118912</v>
      </c>
      <c r="L36" s="4">
        <v>-188374</v>
      </c>
      <c r="M36" s="4">
        <v>-164859</v>
      </c>
    </row>
    <row r="37" spans="1:13">
      <c r="A37" s="3" t="s">
        <v>36</v>
      </c>
      <c r="B37" s="3">
        <v>4.0999999999999996</v>
      </c>
      <c r="C37" s="3">
        <v>4.82</v>
      </c>
      <c r="D37" s="3">
        <v>4.71</v>
      </c>
      <c r="E37" s="3">
        <v>0.93</v>
      </c>
      <c r="F37" s="3">
        <v>-4.6399999999999997</v>
      </c>
      <c r="H37" s="3" t="s">
        <v>41</v>
      </c>
      <c r="I37" s="4">
        <v>5554051</v>
      </c>
      <c r="J37" s="4">
        <v>4879193</v>
      </c>
      <c r="K37" s="4">
        <v>5904928</v>
      </c>
      <c r="L37" s="4">
        <v>6504635</v>
      </c>
      <c r="M37" s="4">
        <v>6681437</v>
      </c>
    </row>
    <row r="38" spans="1:13">
      <c r="A38" s="3" t="s">
        <v>37</v>
      </c>
      <c r="B38" s="3">
        <v>4.03</v>
      </c>
      <c r="C38" s="3">
        <v>4.7300000000000004</v>
      </c>
      <c r="D38" s="3">
        <v>4.5599999999999996</v>
      </c>
      <c r="E38" s="3">
        <v>0.87</v>
      </c>
      <c r="F38" s="3">
        <v>-4.6500000000000004</v>
      </c>
      <c r="H38" s="3" t="s">
        <v>42</v>
      </c>
      <c r="I38" s="4">
        <v>-1584511</v>
      </c>
      <c r="J38" s="4">
        <v>-340320</v>
      </c>
      <c r="K38" s="4">
        <v>22784</v>
      </c>
      <c r="L38" s="4">
        <v>2844008</v>
      </c>
      <c r="M38" s="4">
        <v>2855691</v>
      </c>
    </row>
    <row r="39" spans="1:13">
      <c r="A39" s="3" t="s">
        <v>38</v>
      </c>
      <c r="B39" s="4">
        <v>2075183.75</v>
      </c>
      <c r="C39" s="4">
        <v>2085253</v>
      </c>
      <c r="D39" s="4">
        <v>2094602</v>
      </c>
      <c r="E39" s="4">
        <v>2035651</v>
      </c>
      <c r="F39" s="4">
        <v>1972131</v>
      </c>
      <c r="H39" s="3" t="s">
        <v>43</v>
      </c>
      <c r="I39" s="9">
        <v>-1473604.48</v>
      </c>
      <c r="J39" s="4">
        <v>-340320</v>
      </c>
      <c r="K39" s="4">
        <v>22784</v>
      </c>
      <c r="L39" s="4">
        <v>2844008</v>
      </c>
      <c r="M39" s="4">
        <v>2855691</v>
      </c>
    </row>
    <row r="40" spans="1:13">
      <c r="A40" s="3" t="s">
        <v>39</v>
      </c>
      <c r="B40" s="4">
        <v>2106882.25</v>
      </c>
      <c r="C40" s="4">
        <v>2119689</v>
      </c>
      <c r="D40" s="4">
        <v>2150508</v>
      </c>
      <c r="E40" s="4">
        <v>2091782</v>
      </c>
      <c r="F40" s="4">
        <v>1974928</v>
      </c>
      <c r="H40" s="3" t="s">
        <v>44</v>
      </c>
      <c r="I40" s="4">
        <v>47142</v>
      </c>
      <c r="J40" s="4">
        <v>145728</v>
      </c>
      <c r="K40" s="4">
        <v>166304</v>
      </c>
      <c r="L40" s="3">
        <v>0</v>
      </c>
      <c r="M40" s="3">
        <v>0</v>
      </c>
    </row>
    <row r="41" spans="1:13">
      <c r="A41" s="3" t="s">
        <v>40</v>
      </c>
      <c r="B41" s="4">
        <v>6260000</v>
      </c>
      <c r="C41" s="4">
        <v>5565000</v>
      </c>
      <c r="D41" s="4">
        <v>2799000</v>
      </c>
      <c r="E41" s="4">
        <v>1110000</v>
      </c>
      <c r="F41" s="4">
        <v>-1832000</v>
      </c>
      <c r="H41" s="3" t="s">
        <v>45</v>
      </c>
      <c r="I41" s="4">
        <v>19735</v>
      </c>
      <c r="J41" s="4">
        <v>26223</v>
      </c>
      <c r="K41" s="4">
        <v>28921</v>
      </c>
      <c r="L41" s="4">
        <v>20755</v>
      </c>
      <c r="M41" s="4">
        <v>19830</v>
      </c>
    </row>
    <row r="42" spans="1:13">
      <c r="A42" s="3" t="s">
        <v>41</v>
      </c>
      <c r="B42" s="4">
        <v>47427000</v>
      </c>
      <c r="C42" s="4">
        <v>46452000</v>
      </c>
      <c r="D42" s="4">
        <v>41179000</v>
      </c>
      <c r="E42" s="4">
        <v>36171000</v>
      </c>
      <c r="F42" s="4">
        <v>33709000</v>
      </c>
      <c r="H42" s="3" t="s">
        <v>46</v>
      </c>
      <c r="I42" s="4">
        <v>27407</v>
      </c>
      <c r="J42" s="4">
        <v>-26223</v>
      </c>
      <c r="K42" s="4">
        <v>-28921</v>
      </c>
      <c r="L42" s="4">
        <v>-20755</v>
      </c>
      <c r="M42" s="4">
        <v>-19830</v>
      </c>
    </row>
    <row r="43" spans="1:13">
      <c r="A43" s="3" t="s">
        <v>42</v>
      </c>
      <c r="B43" s="4">
        <v>8540000</v>
      </c>
      <c r="C43" s="4">
        <v>10053000</v>
      </c>
      <c r="D43" s="4">
        <v>9856000</v>
      </c>
      <c r="E43" s="4">
        <v>1887000</v>
      </c>
      <c r="F43" s="4">
        <v>-9141000</v>
      </c>
      <c r="H43" s="3" t="s">
        <v>47</v>
      </c>
      <c r="I43" s="4">
        <v>-1558904</v>
      </c>
      <c r="J43" s="4">
        <v>-305481</v>
      </c>
      <c r="K43" s="4">
        <v>54271</v>
      </c>
      <c r="L43" s="4">
        <v>-32492</v>
      </c>
      <c r="M43" s="4">
        <v>-19566</v>
      </c>
    </row>
    <row r="44" spans="1:13">
      <c r="A44" s="3" t="s">
        <v>43</v>
      </c>
      <c r="B44" s="4">
        <v>9502400</v>
      </c>
      <c r="C44" s="4">
        <v>10059320</v>
      </c>
      <c r="D44" s="4">
        <v>8904050</v>
      </c>
      <c r="E44" s="4">
        <v>472336</v>
      </c>
      <c r="F44" s="4">
        <v>-2108211</v>
      </c>
      <c r="G44" s="10"/>
      <c r="H44" s="3" t="s">
        <v>48</v>
      </c>
      <c r="I44" s="4">
        <v>-1404106</v>
      </c>
      <c r="J44" s="4">
        <v>-188968</v>
      </c>
      <c r="K44" s="4">
        <v>203163</v>
      </c>
      <c r="L44" s="4">
        <v>102735</v>
      </c>
      <c r="M44" s="4">
        <v>118714</v>
      </c>
    </row>
    <row r="45" spans="1:13">
      <c r="A45" s="3" t="s">
        <v>44</v>
      </c>
      <c r="B45" s="4">
        <v>749000</v>
      </c>
      <c r="C45" s="4">
        <v>743000</v>
      </c>
      <c r="D45" s="4">
        <v>721000</v>
      </c>
      <c r="E45" s="4">
        <v>484000</v>
      </c>
      <c r="F45" s="4">
        <v>139000</v>
      </c>
      <c r="H45" s="3" t="s">
        <v>49</v>
      </c>
      <c r="I45" s="4">
        <v>2435736</v>
      </c>
      <c r="J45" s="4">
        <v>2543954</v>
      </c>
      <c r="K45" s="4">
        <v>3337714</v>
      </c>
      <c r="L45" s="4">
        <v>3697653</v>
      </c>
      <c r="M45" s="4">
        <v>3698923</v>
      </c>
    </row>
    <row r="46" spans="1:13">
      <c r="A46" s="3" t="s">
        <v>45</v>
      </c>
      <c r="B46" s="4">
        <v>443000</v>
      </c>
      <c r="C46" s="4">
        <v>440000</v>
      </c>
      <c r="D46" s="4">
        <v>523000</v>
      </c>
      <c r="E46" s="4">
        <v>633000</v>
      </c>
      <c r="F46" s="4">
        <v>565000</v>
      </c>
      <c r="H46" s="3" t="s">
        <v>50</v>
      </c>
      <c r="I46" s="4">
        <v>154798</v>
      </c>
      <c r="J46" s="4">
        <v>116513</v>
      </c>
      <c r="K46" s="4">
        <v>148892</v>
      </c>
      <c r="L46" s="4">
        <v>135227</v>
      </c>
      <c r="M46" s="4">
        <v>138280</v>
      </c>
    </row>
    <row r="47" spans="1:13">
      <c r="A47" s="3" t="s">
        <v>46</v>
      </c>
      <c r="B47" s="4">
        <v>306000</v>
      </c>
      <c r="C47" s="4">
        <v>303000</v>
      </c>
      <c r="D47" s="4">
        <v>198000</v>
      </c>
      <c r="E47" s="4">
        <v>-149000</v>
      </c>
      <c r="F47" s="4">
        <v>-426000</v>
      </c>
      <c r="H47" s="3" t="s">
        <v>51</v>
      </c>
      <c r="I47" s="4">
        <v>-1584511</v>
      </c>
      <c r="J47" s="4">
        <v>-340320</v>
      </c>
      <c r="K47" s="4">
        <v>22784</v>
      </c>
      <c r="L47" s="4">
        <v>2844008</v>
      </c>
      <c r="M47" s="4">
        <v>2855691</v>
      </c>
    </row>
    <row r="48" spans="1:13">
      <c r="A48" s="3" t="s">
        <v>47</v>
      </c>
      <c r="B48" s="4">
        <v>5354000</v>
      </c>
      <c r="C48" s="4">
        <v>6240000</v>
      </c>
      <c r="D48" s="4">
        <v>4648000</v>
      </c>
      <c r="E48" s="4">
        <v>2954000</v>
      </c>
      <c r="F48" s="4">
        <v>-8861000</v>
      </c>
      <c r="H48" s="3" t="s">
        <v>52</v>
      </c>
      <c r="I48" s="4">
        <v>-140388</v>
      </c>
      <c r="J48" s="4">
        <v>3414</v>
      </c>
      <c r="K48" s="4">
        <v>-7384</v>
      </c>
      <c r="L48" s="3">
        <v>0</v>
      </c>
      <c r="M48" s="4">
        <v>-7384</v>
      </c>
    </row>
    <row r="49" spans="1:13">
      <c r="A49" s="3" t="s">
        <v>48</v>
      </c>
      <c r="B49" s="4">
        <v>6114000</v>
      </c>
      <c r="C49" s="4">
        <v>6987000</v>
      </c>
      <c r="D49" s="4">
        <v>5385000</v>
      </c>
      <c r="E49" s="4">
        <v>3777000</v>
      </c>
      <c r="F49" s="4">
        <v>-7914000</v>
      </c>
      <c r="H49" s="3" t="s">
        <v>53</v>
      </c>
      <c r="I49" s="4">
        <v>-140388</v>
      </c>
      <c r="J49" s="4">
        <v>3414</v>
      </c>
      <c r="K49" s="4">
        <v>-7384</v>
      </c>
      <c r="L49" s="3">
        <v>0</v>
      </c>
      <c r="M49" s="4">
        <v>-7384</v>
      </c>
    </row>
    <row r="50" spans="1:13">
      <c r="A50" s="3" t="s">
        <v>49</v>
      </c>
      <c r="B50" s="4">
        <v>31631000</v>
      </c>
      <c r="C50" s="4">
        <v>31310000</v>
      </c>
      <c r="D50" s="4">
        <v>26625000</v>
      </c>
      <c r="E50" s="4">
        <v>22457000</v>
      </c>
      <c r="F50" s="4">
        <v>19659000</v>
      </c>
      <c r="H50" s="3" t="s">
        <v>54</v>
      </c>
      <c r="I50" s="4">
        <v>-1263718</v>
      </c>
      <c r="J50" s="4">
        <v>-188968</v>
      </c>
      <c r="K50" s="4">
        <v>203163</v>
      </c>
      <c r="L50" s="4">
        <v>102735</v>
      </c>
      <c r="M50" s="4">
        <v>118714</v>
      </c>
    </row>
    <row r="51" spans="1:13">
      <c r="A51" s="3" t="s">
        <v>50</v>
      </c>
      <c r="B51" s="4">
        <v>760000</v>
      </c>
      <c r="C51" s="4">
        <v>747000</v>
      </c>
      <c r="D51" s="4">
        <v>737000</v>
      </c>
      <c r="E51" s="4">
        <v>823000</v>
      </c>
      <c r="F51" s="4">
        <v>947000</v>
      </c>
      <c r="H51" s="3" t="s">
        <v>55</v>
      </c>
      <c r="I51" s="3">
        <v>0</v>
      </c>
      <c r="J51" s="3">
        <v>0</v>
      </c>
      <c r="K51" s="3">
        <v>0</v>
      </c>
      <c r="L51" s="3">
        <v>0</v>
      </c>
      <c r="M51" s="3">
        <v>0</v>
      </c>
    </row>
    <row r="52" spans="1:13">
      <c r="A52" s="3" t="s">
        <v>51</v>
      </c>
      <c r="B52" s="4">
        <v>8540000</v>
      </c>
      <c r="C52" s="4">
        <v>10053000</v>
      </c>
      <c r="D52" s="4">
        <v>9856000</v>
      </c>
      <c r="E52" s="4">
        <v>1887000</v>
      </c>
      <c r="F52" s="4">
        <v>-9141000</v>
      </c>
      <c r="H52" s="3" t="s">
        <v>56</v>
      </c>
      <c r="I52" s="9">
        <v>-29481.48</v>
      </c>
      <c r="J52" s="3">
        <v>0</v>
      </c>
      <c r="K52" s="3">
        <v>0</v>
      </c>
      <c r="L52" s="3">
        <v>0</v>
      </c>
      <c r="M52" s="3">
        <v>0</v>
      </c>
    </row>
    <row r="53" spans="1:13">
      <c r="A53" s="3" t="s">
        <v>52</v>
      </c>
      <c r="B53" s="4">
        <v>-1604000</v>
      </c>
      <c r="C53" s="4">
        <v>-8000</v>
      </c>
      <c r="D53" s="4">
        <v>1205000</v>
      </c>
      <c r="E53" s="4">
        <v>1558000</v>
      </c>
      <c r="F53" s="4">
        <v>-7169000</v>
      </c>
    </row>
    <row r="54" spans="1:13">
      <c r="A54" s="3" t="s">
        <v>53</v>
      </c>
      <c r="B54" s="4">
        <v>-1604000</v>
      </c>
      <c r="C54" s="4">
        <v>-8000</v>
      </c>
      <c r="D54" s="4">
        <v>1205000</v>
      </c>
      <c r="E54" s="4">
        <v>1558000</v>
      </c>
      <c r="F54" s="4">
        <v>-7169000</v>
      </c>
    </row>
    <row r="55" spans="1:13">
      <c r="A55" s="3" t="s">
        <v>54</v>
      </c>
      <c r="B55" s="4">
        <v>7718000</v>
      </c>
      <c r="C55" s="4">
        <v>6995000</v>
      </c>
      <c r="D55" s="4">
        <v>4180000</v>
      </c>
      <c r="E55" s="4">
        <v>2219000</v>
      </c>
      <c r="F55" s="4">
        <v>-745000</v>
      </c>
    </row>
    <row r="56" spans="1:13">
      <c r="A56" s="3" t="s">
        <v>55</v>
      </c>
      <c r="B56" s="4">
        <v>0</v>
      </c>
      <c r="C56" s="4">
        <v>0</v>
      </c>
      <c r="D56" s="4">
        <v>0</v>
      </c>
      <c r="E56" s="4">
        <v>0</v>
      </c>
      <c r="F56" s="4">
        <v>0</v>
      </c>
    </row>
    <row r="57" spans="1:13">
      <c r="A57" s="3" t="s">
        <v>56</v>
      </c>
      <c r="B57" s="4">
        <v>-641600</v>
      </c>
      <c r="C57" s="4">
        <v>-1680</v>
      </c>
      <c r="D57" s="4">
        <v>253050</v>
      </c>
      <c r="E57" s="4">
        <v>143336</v>
      </c>
      <c r="F57" s="4">
        <v>-136211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6A904-72DC-4766-8A85-3BF191A98B7C}">
  <dimension ref="A1:K81"/>
  <sheetViews>
    <sheetView showGridLines="0" topLeftCell="G1" workbookViewId="0">
      <selection sqref="A1:U1"/>
    </sheetView>
  </sheetViews>
  <sheetFormatPr defaultRowHeight="15"/>
  <cols>
    <col min="1" max="1" width="48.85546875" hidden="1" customWidth="1"/>
    <col min="2" max="5" width="10.7109375" hidden="1" customWidth="1"/>
    <col min="6" max="6" width="12.28515625" hidden="1" customWidth="1"/>
    <col min="7" max="7" width="46" bestFit="1" customWidth="1"/>
    <col min="8" max="8" width="10.28515625" bestFit="1" customWidth="1"/>
    <col min="9" max="10" width="10.7109375" bestFit="1" customWidth="1"/>
    <col min="11" max="11" width="10.28515625" bestFit="1" customWidth="1"/>
  </cols>
  <sheetData>
    <row r="1" spans="1:11">
      <c r="A1" t="s">
        <v>57</v>
      </c>
      <c r="G1" t="s">
        <v>59</v>
      </c>
    </row>
    <row r="2" spans="1:11">
      <c r="A2" s="5" t="s">
        <v>0</v>
      </c>
      <c r="B2" s="6">
        <v>46022</v>
      </c>
      <c r="C2" s="6">
        <v>45657</v>
      </c>
      <c r="D2" s="6">
        <v>45291</v>
      </c>
      <c r="E2" s="6">
        <v>44926</v>
      </c>
      <c r="F2" s="1"/>
      <c r="G2" s="5" t="s">
        <v>0</v>
      </c>
      <c r="H2" s="6">
        <v>44926</v>
      </c>
      <c r="I2" s="6">
        <v>45291</v>
      </c>
      <c r="J2" s="6">
        <v>45657</v>
      </c>
      <c r="K2" s="6">
        <v>46022</v>
      </c>
    </row>
    <row r="3" spans="1:11">
      <c r="A3" s="3" t="s">
        <v>60</v>
      </c>
      <c r="B3" s="4">
        <v>61802000</v>
      </c>
      <c r="C3" s="4">
        <v>51244000</v>
      </c>
      <c r="D3" s="4">
        <v>38699000</v>
      </c>
      <c r="E3" s="4">
        <v>32109000</v>
      </c>
      <c r="F3" s="2"/>
      <c r="G3" s="3" t="s">
        <v>60</v>
      </c>
      <c r="H3" s="4">
        <v>4556431</v>
      </c>
      <c r="I3" s="4">
        <v>4564467</v>
      </c>
      <c r="J3" s="4">
        <v>5435069</v>
      </c>
      <c r="K3" s="4">
        <v>9030053</v>
      </c>
    </row>
    <row r="4" spans="1:11">
      <c r="A4" s="3" t="s">
        <v>61</v>
      </c>
      <c r="B4" s="4">
        <v>13993000</v>
      </c>
      <c r="C4" s="4">
        <v>12245000</v>
      </c>
      <c r="D4" s="4">
        <v>11297000</v>
      </c>
      <c r="E4" s="4">
        <v>9249000</v>
      </c>
      <c r="F4" s="2"/>
      <c r="G4" s="3" t="s">
        <v>61</v>
      </c>
      <c r="H4" s="4">
        <v>2582859</v>
      </c>
      <c r="I4" s="4">
        <v>2577419</v>
      </c>
      <c r="J4" s="4">
        <v>2950533</v>
      </c>
      <c r="K4" s="4">
        <v>2919515</v>
      </c>
    </row>
    <row r="5" spans="1:11">
      <c r="A5" s="3" t="s">
        <v>62</v>
      </c>
      <c r="B5" s="4">
        <v>7633000</v>
      </c>
      <c r="C5" s="4">
        <v>6977000</v>
      </c>
      <c r="D5" s="4">
        <v>5407000</v>
      </c>
      <c r="E5" s="4">
        <v>4311000</v>
      </c>
      <c r="F5" s="2"/>
      <c r="G5" s="3" t="s">
        <v>62</v>
      </c>
      <c r="H5" s="4">
        <v>1796792</v>
      </c>
      <c r="I5" s="4">
        <v>1685184</v>
      </c>
      <c r="J5" s="4">
        <v>1984443</v>
      </c>
      <c r="K5" s="4">
        <v>1837181</v>
      </c>
    </row>
    <row r="6" spans="1:11">
      <c r="A6" s="3" t="s">
        <v>63</v>
      </c>
      <c r="B6" s="4">
        <v>7105000</v>
      </c>
      <c r="C6" s="4">
        <v>5893000</v>
      </c>
      <c r="D6" s="4">
        <v>4680000</v>
      </c>
      <c r="E6" s="4">
        <v>4208000</v>
      </c>
      <c r="F6" s="2"/>
      <c r="G6" s="3" t="s">
        <v>63</v>
      </c>
      <c r="H6" s="4">
        <v>281090</v>
      </c>
      <c r="I6" s="4">
        <v>558636</v>
      </c>
      <c r="J6" s="4">
        <v>759319</v>
      </c>
      <c r="K6" s="4">
        <v>1132009</v>
      </c>
    </row>
    <row r="7" spans="1:11">
      <c r="A7" s="3" t="s">
        <v>64</v>
      </c>
      <c r="B7" s="4">
        <v>528000</v>
      </c>
      <c r="C7" s="4">
        <v>1084000</v>
      </c>
      <c r="D7" s="4">
        <v>727000</v>
      </c>
      <c r="E7" s="4">
        <v>103000</v>
      </c>
      <c r="F7" s="2"/>
      <c r="G7" s="3" t="s">
        <v>64</v>
      </c>
      <c r="H7" s="4">
        <v>1515702</v>
      </c>
      <c r="I7" s="4">
        <v>1126548</v>
      </c>
      <c r="J7" s="4">
        <v>1225124</v>
      </c>
      <c r="K7" s="4">
        <v>705172</v>
      </c>
    </row>
    <row r="8" spans="1:11">
      <c r="A8" s="3" t="s">
        <v>65</v>
      </c>
      <c r="B8" s="4">
        <v>3827000</v>
      </c>
      <c r="C8" s="4">
        <v>3333000</v>
      </c>
      <c r="D8" s="4">
        <v>4121000</v>
      </c>
      <c r="E8" s="4">
        <v>3489000</v>
      </c>
      <c r="F8" s="2"/>
      <c r="G8" s="3" t="s">
        <v>72</v>
      </c>
      <c r="H8" s="4">
        <v>786067</v>
      </c>
      <c r="I8" s="4">
        <v>892235</v>
      </c>
      <c r="J8" s="4">
        <v>966090</v>
      </c>
      <c r="K8" s="4">
        <v>1082334</v>
      </c>
    </row>
    <row r="9" spans="1:11">
      <c r="A9" s="3" t="s">
        <v>66</v>
      </c>
      <c r="B9" s="4">
        <v>3827000</v>
      </c>
      <c r="C9" s="4">
        <v>3333000</v>
      </c>
      <c r="D9" s="4">
        <v>3404000</v>
      </c>
      <c r="E9" s="4">
        <v>2779000</v>
      </c>
      <c r="G9" s="3" t="s">
        <v>73</v>
      </c>
      <c r="H9" s="4">
        <v>1973572</v>
      </c>
      <c r="I9" s="4">
        <v>1987048</v>
      </c>
      <c r="J9" s="4">
        <v>2484536</v>
      </c>
      <c r="K9" s="4">
        <v>6110538</v>
      </c>
    </row>
    <row r="10" spans="1:11">
      <c r="A10" s="3" t="s">
        <v>67</v>
      </c>
      <c r="B10" s="4">
        <v>3918000</v>
      </c>
      <c r="C10" s="4">
        <v>3428000</v>
      </c>
      <c r="D10" s="4">
        <v>3495000</v>
      </c>
      <c r="E10" s="4">
        <v>2859000</v>
      </c>
      <c r="F10" s="2"/>
      <c r="G10" s="3" t="s">
        <v>74</v>
      </c>
      <c r="H10" s="4">
        <v>448615</v>
      </c>
      <c r="I10" s="4">
        <v>564046</v>
      </c>
      <c r="J10" s="4">
        <v>593261</v>
      </c>
      <c r="K10" s="4">
        <v>584109</v>
      </c>
    </row>
    <row r="11" spans="1:11">
      <c r="A11" s="3" t="s">
        <v>68</v>
      </c>
      <c r="B11" s="4">
        <v>-91000</v>
      </c>
      <c r="C11" s="4">
        <v>-95000</v>
      </c>
      <c r="D11" s="4">
        <v>-91000</v>
      </c>
      <c r="E11" s="4">
        <v>-80000</v>
      </c>
      <c r="F11" s="2"/>
      <c r="G11" s="3" t="s">
        <v>75</v>
      </c>
      <c r="H11" s="4">
        <v>672551</v>
      </c>
      <c r="I11" s="4">
        <v>811241</v>
      </c>
      <c r="J11" s="4">
        <v>855082</v>
      </c>
      <c r="K11" s="4">
        <v>950908</v>
      </c>
    </row>
    <row r="12" spans="1:11">
      <c r="A12" s="3" t="s">
        <v>69</v>
      </c>
      <c r="B12" s="3">
        <v>0</v>
      </c>
      <c r="C12" s="4">
        <v>482000</v>
      </c>
      <c r="D12" s="4">
        <v>717000</v>
      </c>
      <c r="E12" s="4">
        <v>710000</v>
      </c>
      <c r="F12" s="2"/>
      <c r="G12" s="3" t="s">
        <v>76</v>
      </c>
      <c r="H12" s="4">
        <v>0</v>
      </c>
      <c r="I12" s="4">
        <v>0</v>
      </c>
      <c r="J12" s="4">
        <v>0</v>
      </c>
      <c r="K12" s="4">
        <v>0</v>
      </c>
    </row>
    <row r="13" spans="1:11">
      <c r="A13" s="3" t="s">
        <v>70</v>
      </c>
      <c r="B13" s="4">
        <v>408000</v>
      </c>
      <c r="C13" s="4">
        <v>415000</v>
      </c>
      <c r="D13" s="4">
        <v>400000</v>
      </c>
      <c r="E13" s="4">
        <v>310000</v>
      </c>
      <c r="F13" s="2"/>
      <c r="G13" s="3" t="s">
        <v>79</v>
      </c>
      <c r="H13" s="4">
        <v>364594</v>
      </c>
      <c r="I13" s="4">
        <v>482618</v>
      </c>
      <c r="J13" s="4">
        <v>494503</v>
      </c>
      <c r="K13" s="4">
        <v>555399</v>
      </c>
    </row>
    <row r="14" spans="1:11">
      <c r="A14" s="3" t="s">
        <v>71</v>
      </c>
      <c r="B14" s="4">
        <v>631000</v>
      </c>
      <c r="C14" s="4">
        <v>545000</v>
      </c>
      <c r="D14" s="4">
        <v>805000</v>
      </c>
      <c r="E14" s="4">
        <v>680000</v>
      </c>
      <c r="G14" s="3" t="s">
        <v>80</v>
      </c>
      <c r="H14" s="4">
        <v>168100</v>
      </c>
      <c r="I14" s="4">
        <v>179136</v>
      </c>
      <c r="J14" s="4">
        <v>228101</v>
      </c>
      <c r="K14" s="4">
        <v>294049</v>
      </c>
    </row>
    <row r="15" spans="1:11">
      <c r="A15" s="3" t="s">
        <v>72</v>
      </c>
      <c r="B15" s="4">
        <v>1494000</v>
      </c>
      <c r="C15" s="4">
        <v>975000</v>
      </c>
      <c r="D15" s="4">
        <v>564000</v>
      </c>
      <c r="E15" s="4">
        <v>459000</v>
      </c>
      <c r="G15" s="3" t="s">
        <v>81</v>
      </c>
      <c r="H15" s="4">
        <v>48523</v>
      </c>
      <c r="I15" s="4">
        <v>72257</v>
      </c>
      <c r="J15" s="4">
        <v>56998</v>
      </c>
      <c r="K15" s="4">
        <v>28185</v>
      </c>
    </row>
    <row r="16" spans="1:11">
      <c r="A16" s="3" t="s">
        <v>73</v>
      </c>
      <c r="B16" s="4">
        <v>47809000</v>
      </c>
      <c r="C16" s="4">
        <v>38999000</v>
      </c>
      <c r="D16" s="4">
        <v>27402000</v>
      </c>
      <c r="E16" s="4">
        <v>22860000</v>
      </c>
      <c r="G16" s="3" t="s">
        <v>82</v>
      </c>
      <c r="H16" s="4">
        <v>91334</v>
      </c>
      <c r="I16" s="4">
        <v>77230</v>
      </c>
      <c r="J16" s="4">
        <v>75480</v>
      </c>
      <c r="K16" s="4">
        <v>73275</v>
      </c>
    </row>
    <row r="17" spans="1:11">
      <c r="A17" s="3" t="s">
        <v>74</v>
      </c>
      <c r="B17" s="4">
        <v>3011000</v>
      </c>
      <c r="C17" s="4">
        <v>3110000</v>
      </c>
      <c r="D17" s="4">
        <v>3314000</v>
      </c>
      <c r="E17" s="4">
        <v>3531000</v>
      </c>
      <c r="G17" s="3" t="s">
        <v>83</v>
      </c>
      <c r="H17" s="4">
        <v>-223936</v>
      </c>
      <c r="I17" s="4">
        <v>-247195</v>
      </c>
      <c r="J17" s="4">
        <v>-261821</v>
      </c>
      <c r="K17" s="4">
        <v>-366799</v>
      </c>
    </row>
    <row r="18" spans="1:11">
      <c r="A18" s="3" t="s">
        <v>75</v>
      </c>
      <c r="B18" s="4">
        <v>4861000</v>
      </c>
      <c r="C18" s="4">
        <v>4708000</v>
      </c>
      <c r="D18" s="4">
        <v>4715000</v>
      </c>
      <c r="E18" s="4">
        <v>4816000</v>
      </c>
      <c r="G18" s="3" t="s">
        <v>84</v>
      </c>
      <c r="H18" s="4">
        <v>337790</v>
      </c>
      <c r="I18" s="4">
        <v>317306</v>
      </c>
      <c r="J18" s="4">
        <v>294152</v>
      </c>
      <c r="K18" s="4">
        <v>618698</v>
      </c>
    </row>
    <row r="19" spans="1:11">
      <c r="A19" s="3" t="s">
        <v>76</v>
      </c>
      <c r="B19" s="3">
        <v>0</v>
      </c>
      <c r="C19" s="3">
        <v>0</v>
      </c>
      <c r="D19" s="3">
        <v>0</v>
      </c>
      <c r="E19" s="3">
        <v>0</v>
      </c>
      <c r="G19" s="3" t="s">
        <v>85</v>
      </c>
      <c r="H19" s="4">
        <v>261582</v>
      </c>
      <c r="I19" s="4">
        <v>257791</v>
      </c>
      <c r="J19" s="4">
        <v>251376</v>
      </c>
      <c r="K19" s="4">
        <v>439754</v>
      </c>
    </row>
    <row r="20" spans="1:11">
      <c r="A20" s="3" t="s">
        <v>77</v>
      </c>
      <c r="B20" s="4">
        <v>65000</v>
      </c>
      <c r="C20" s="4">
        <v>65000</v>
      </c>
      <c r="D20" s="4">
        <v>65000</v>
      </c>
      <c r="E20" s="4">
        <v>65000</v>
      </c>
      <c r="G20" s="3" t="s">
        <v>86</v>
      </c>
      <c r="H20" s="4">
        <v>76208</v>
      </c>
      <c r="I20" s="4">
        <v>59515</v>
      </c>
      <c r="J20" s="4">
        <v>42776</v>
      </c>
      <c r="K20" s="4">
        <v>178944</v>
      </c>
    </row>
    <row r="21" spans="1:11">
      <c r="A21" s="3" t="s">
        <v>78</v>
      </c>
      <c r="B21" s="4">
        <v>740000</v>
      </c>
      <c r="C21" s="4">
        <v>739000</v>
      </c>
      <c r="D21" s="4">
        <v>739000</v>
      </c>
      <c r="E21" s="4">
        <v>739000</v>
      </c>
      <c r="G21" s="3" t="s">
        <v>87</v>
      </c>
      <c r="H21" s="4">
        <v>26390</v>
      </c>
      <c r="I21" s="4">
        <v>39870</v>
      </c>
      <c r="J21" s="4">
        <v>42516</v>
      </c>
      <c r="K21" s="4">
        <v>47066</v>
      </c>
    </row>
    <row r="22" spans="1:11">
      <c r="A22" s="3" t="s">
        <v>79</v>
      </c>
      <c r="B22" s="4">
        <v>1949000</v>
      </c>
      <c r="C22" s="4">
        <v>1858000</v>
      </c>
      <c r="D22" s="4">
        <v>1809000</v>
      </c>
      <c r="E22" s="4">
        <v>1735000</v>
      </c>
      <c r="G22" s="3" t="s">
        <v>200</v>
      </c>
      <c r="H22" s="4">
        <v>26390</v>
      </c>
      <c r="I22" s="4">
        <v>39870</v>
      </c>
      <c r="J22" s="4">
        <v>42516</v>
      </c>
      <c r="K22" s="4">
        <v>47066</v>
      </c>
    </row>
    <row r="23" spans="1:11">
      <c r="A23" s="3" t="s">
        <v>80</v>
      </c>
      <c r="B23" s="4">
        <v>1114000</v>
      </c>
      <c r="C23" s="4">
        <v>1158000</v>
      </c>
      <c r="D23" s="4">
        <v>1241000</v>
      </c>
      <c r="E23" s="4">
        <v>1449000</v>
      </c>
      <c r="G23" s="3" t="s">
        <v>93</v>
      </c>
      <c r="H23" s="4">
        <v>0</v>
      </c>
      <c r="I23" s="4">
        <v>0</v>
      </c>
      <c r="J23" s="4">
        <v>435</v>
      </c>
      <c r="K23" s="4">
        <v>2906135</v>
      </c>
    </row>
    <row r="24" spans="1:11">
      <c r="A24" s="3" t="s">
        <v>81</v>
      </c>
      <c r="B24" s="4">
        <v>220000</v>
      </c>
      <c r="C24" s="4">
        <v>218000</v>
      </c>
      <c r="D24" s="4">
        <v>203000</v>
      </c>
      <c r="E24" s="4">
        <v>219000</v>
      </c>
      <c r="G24" s="3" t="s">
        <v>94</v>
      </c>
      <c r="H24" s="4">
        <v>0</v>
      </c>
      <c r="I24" s="4">
        <v>0</v>
      </c>
      <c r="J24" s="4">
        <v>435</v>
      </c>
      <c r="K24" s="4">
        <v>2906135</v>
      </c>
    </row>
    <row r="25" spans="1:11">
      <c r="A25" s="3" t="s">
        <v>82</v>
      </c>
      <c r="B25" s="4">
        <v>773000</v>
      </c>
      <c r="C25" s="4">
        <v>670000</v>
      </c>
      <c r="D25" s="4">
        <v>658000</v>
      </c>
      <c r="E25" s="4">
        <v>609000</v>
      </c>
      <c r="G25" s="3" t="s">
        <v>95</v>
      </c>
      <c r="H25" s="4">
        <v>1160777</v>
      </c>
      <c r="I25" s="4">
        <v>1065826</v>
      </c>
      <c r="J25" s="4">
        <v>1554172</v>
      </c>
      <c r="K25" s="4">
        <v>1954530</v>
      </c>
    </row>
    <row r="26" spans="1:11">
      <c r="A26" s="3" t="s">
        <v>83</v>
      </c>
      <c r="B26" s="4">
        <v>-1850000</v>
      </c>
      <c r="C26" s="4">
        <v>-1598000</v>
      </c>
      <c r="D26" s="4">
        <v>-1401000</v>
      </c>
      <c r="E26" s="4">
        <v>-1285000</v>
      </c>
      <c r="G26" s="3" t="s">
        <v>96</v>
      </c>
      <c r="H26" s="4">
        <v>4167763</v>
      </c>
      <c r="I26" s="4">
        <v>4022949</v>
      </c>
      <c r="J26" s="4">
        <v>4668053</v>
      </c>
      <c r="K26" s="4">
        <v>5756530</v>
      </c>
    </row>
    <row r="27" spans="1:11">
      <c r="A27" s="3" t="s">
        <v>84</v>
      </c>
      <c r="B27" s="4">
        <v>9979000</v>
      </c>
      <c r="C27" s="4">
        <v>9191000</v>
      </c>
      <c r="D27" s="4">
        <v>9576000</v>
      </c>
      <c r="E27" s="4">
        <v>10137000</v>
      </c>
      <c r="G27" s="3" t="s">
        <v>97</v>
      </c>
      <c r="H27" s="4">
        <v>3132563</v>
      </c>
      <c r="I27" s="4">
        <v>2961561</v>
      </c>
      <c r="J27" s="4">
        <v>3880742</v>
      </c>
      <c r="K27" s="4">
        <v>4525821</v>
      </c>
    </row>
    <row r="28" spans="1:11">
      <c r="A28" s="3" t="s">
        <v>85</v>
      </c>
      <c r="B28" s="4">
        <v>8931000</v>
      </c>
      <c r="C28" s="4">
        <v>8066000</v>
      </c>
      <c r="D28" s="4">
        <v>8151000</v>
      </c>
      <c r="E28" s="4">
        <v>8263000</v>
      </c>
      <c r="G28" s="3" t="s">
        <v>98</v>
      </c>
      <c r="H28" s="4">
        <v>1367259</v>
      </c>
      <c r="I28" s="4">
        <v>1276488</v>
      </c>
      <c r="J28" s="4">
        <v>1431774</v>
      </c>
      <c r="K28" s="4">
        <v>1817887</v>
      </c>
    </row>
    <row r="29" spans="1:11">
      <c r="A29" s="3" t="s">
        <v>86</v>
      </c>
      <c r="B29" s="4">
        <v>1048000</v>
      </c>
      <c r="C29" s="4">
        <v>1125000</v>
      </c>
      <c r="D29" s="4">
        <v>1425000</v>
      </c>
      <c r="E29" s="4">
        <v>1874000</v>
      </c>
      <c r="G29" s="3" t="s">
        <v>99</v>
      </c>
      <c r="H29" s="4">
        <v>619290</v>
      </c>
      <c r="I29" s="4">
        <v>421227</v>
      </c>
      <c r="J29" s="4">
        <v>489818</v>
      </c>
      <c r="K29" s="4">
        <v>716813</v>
      </c>
    </row>
    <row r="30" spans="1:11">
      <c r="A30" s="3" t="s">
        <v>87</v>
      </c>
      <c r="B30" s="4">
        <v>9346000</v>
      </c>
      <c r="C30" s="4">
        <v>8618000</v>
      </c>
      <c r="D30" s="4">
        <v>6328000</v>
      </c>
      <c r="E30" s="4">
        <v>5161000</v>
      </c>
      <c r="G30" s="3" t="s">
        <v>100</v>
      </c>
      <c r="H30" s="4">
        <v>107801</v>
      </c>
      <c r="I30" s="9">
        <v>72282</v>
      </c>
      <c r="J30" s="9">
        <v>97704</v>
      </c>
      <c r="K30" s="9">
        <v>120464</v>
      </c>
    </row>
    <row r="31" spans="1:11">
      <c r="A31" s="3" t="s">
        <v>88</v>
      </c>
      <c r="B31" s="4">
        <v>287000</v>
      </c>
      <c r="C31" s="4">
        <v>302000</v>
      </c>
      <c r="D31" s="4">
        <v>353000</v>
      </c>
      <c r="E31" s="4">
        <v>870000</v>
      </c>
      <c r="G31" s="3" t="s">
        <v>101</v>
      </c>
      <c r="H31" s="4">
        <v>458209</v>
      </c>
      <c r="I31" s="4">
        <v>296336</v>
      </c>
      <c r="J31" s="4">
        <v>333979</v>
      </c>
      <c r="K31" s="4">
        <v>540042</v>
      </c>
    </row>
    <row r="32" spans="1:11">
      <c r="A32" s="3" t="s">
        <v>89</v>
      </c>
      <c r="B32" s="4">
        <v>9059000</v>
      </c>
      <c r="C32" s="4">
        <v>8316000</v>
      </c>
      <c r="D32" s="4">
        <v>5975000</v>
      </c>
      <c r="E32" s="4">
        <v>4291000</v>
      </c>
      <c r="G32" s="3" t="s">
        <v>201</v>
      </c>
      <c r="H32" s="4">
        <v>53280</v>
      </c>
      <c r="I32" s="4">
        <v>52609</v>
      </c>
      <c r="J32" s="4">
        <v>58135</v>
      </c>
      <c r="K32" s="4">
        <v>56307</v>
      </c>
    </row>
    <row r="33" spans="1:11">
      <c r="A33" s="3" t="s">
        <v>90</v>
      </c>
      <c r="B33" s="4">
        <v>9059000</v>
      </c>
      <c r="C33" s="4">
        <v>8316000</v>
      </c>
      <c r="D33" s="4">
        <v>5975000</v>
      </c>
      <c r="E33" s="4">
        <v>4291000</v>
      </c>
      <c r="G33" s="3" t="s">
        <v>103</v>
      </c>
      <c r="H33" s="4">
        <v>747969</v>
      </c>
      <c r="I33" s="4">
        <v>855261</v>
      </c>
      <c r="J33" s="4">
        <v>941956</v>
      </c>
      <c r="K33" s="4">
        <v>1101074</v>
      </c>
    </row>
    <row r="34" spans="1:11">
      <c r="A34" s="3" t="s">
        <v>91</v>
      </c>
      <c r="B34" s="3">
        <v>0</v>
      </c>
      <c r="C34" s="3">
        <v>0</v>
      </c>
      <c r="D34" s="3">
        <v>0</v>
      </c>
      <c r="E34" s="4">
        <v>1726000</v>
      </c>
      <c r="G34" s="3" t="s">
        <v>104</v>
      </c>
      <c r="H34" s="4">
        <v>1417350</v>
      </c>
      <c r="I34" s="4">
        <v>1337868</v>
      </c>
      <c r="J34" s="4">
        <v>1701393</v>
      </c>
      <c r="K34" s="4">
        <v>2180426</v>
      </c>
    </row>
    <row r="35" spans="1:11">
      <c r="A35" s="3" t="s">
        <v>92</v>
      </c>
      <c r="B35" s="4">
        <v>119000</v>
      </c>
      <c r="C35" s="4">
        <v>144000</v>
      </c>
      <c r="D35" s="4">
        <v>126000</v>
      </c>
      <c r="E35" s="4">
        <v>110000</v>
      </c>
      <c r="G35" s="3" t="s">
        <v>106</v>
      </c>
      <c r="H35" s="4">
        <v>82090</v>
      </c>
      <c r="I35" s="4">
        <v>68354</v>
      </c>
      <c r="J35" s="4">
        <v>485539</v>
      </c>
      <c r="K35" s="4">
        <v>114425</v>
      </c>
    </row>
    <row r="36" spans="1:11">
      <c r="A36" s="3" t="s">
        <v>93</v>
      </c>
      <c r="B36" s="4">
        <v>10951000</v>
      </c>
      <c r="C36" s="4">
        <v>6171000</v>
      </c>
      <c r="D36" s="4">
        <v>170000</v>
      </c>
      <c r="E36" s="3">
        <v>0</v>
      </c>
      <c r="G36" s="3" t="s">
        <v>107</v>
      </c>
      <c r="H36" s="4">
        <v>36287</v>
      </c>
      <c r="I36" s="4">
        <v>25798</v>
      </c>
      <c r="J36" s="4">
        <v>429079</v>
      </c>
      <c r="K36" s="4">
        <v>50607</v>
      </c>
    </row>
    <row r="37" spans="1:11">
      <c r="A37" s="3" t="s">
        <v>94</v>
      </c>
      <c r="B37" s="4">
        <v>10951000</v>
      </c>
      <c r="C37" s="4">
        <v>6171000</v>
      </c>
      <c r="D37" s="4">
        <v>170000</v>
      </c>
      <c r="E37" s="3">
        <v>0</v>
      </c>
      <c r="G37" s="3" t="s">
        <v>108</v>
      </c>
      <c r="H37" s="4">
        <v>36287</v>
      </c>
      <c r="I37" s="4">
        <v>25798</v>
      </c>
      <c r="J37" s="4">
        <v>429079</v>
      </c>
      <c r="K37" s="4">
        <v>50607</v>
      </c>
    </row>
    <row r="38" spans="1:11">
      <c r="A38" s="3" t="s">
        <v>95</v>
      </c>
      <c r="B38" s="4">
        <v>14403000</v>
      </c>
      <c r="C38" s="4">
        <v>11765000</v>
      </c>
      <c r="D38" s="4">
        <v>7888000</v>
      </c>
      <c r="E38" s="4">
        <v>3921000</v>
      </c>
      <c r="G38" s="3" t="s">
        <v>109</v>
      </c>
      <c r="H38" s="4">
        <v>45803</v>
      </c>
      <c r="I38" s="4">
        <v>42556</v>
      </c>
      <c r="J38" s="4">
        <v>56460</v>
      </c>
      <c r="K38" s="4">
        <v>63818</v>
      </c>
    </row>
    <row r="39" spans="1:11">
      <c r="A39" s="3" t="s">
        <v>96</v>
      </c>
      <c r="B39" s="4">
        <v>33719000</v>
      </c>
      <c r="C39" s="4">
        <v>28768000</v>
      </c>
      <c r="D39" s="4">
        <v>26017000</v>
      </c>
      <c r="E39" s="4">
        <v>23605000</v>
      </c>
      <c r="G39" s="3" t="s">
        <v>202</v>
      </c>
      <c r="H39" s="4">
        <v>2357</v>
      </c>
      <c r="I39" s="3">
        <v>0</v>
      </c>
      <c r="J39" s="4">
        <v>0</v>
      </c>
      <c r="K39" s="4">
        <v>0</v>
      </c>
    </row>
    <row r="40" spans="1:11">
      <c r="A40" s="3" t="s">
        <v>97</v>
      </c>
      <c r="B40" s="4">
        <v>12320000</v>
      </c>
      <c r="C40" s="4">
        <v>11476000</v>
      </c>
      <c r="D40" s="4">
        <v>9454000</v>
      </c>
      <c r="E40" s="4">
        <v>8853000</v>
      </c>
      <c r="G40" s="3" t="s">
        <v>110</v>
      </c>
      <c r="H40" s="4">
        <v>263507</v>
      </c>
      <c r="I40" s="4">
        <v>278851</v>
      </c>
      <c r="J40" s="4">
        <v>262036</v>
      </c>
      <c r="K40" s="4">
        <v>413083</v>
      </c>
    </row>
    <row r="41" spans="1:11">
      <c r="A41" s="3" t="s">
        <v>98</v>
      </c>
      <c r="B41" s="4">
        <v>5724000</v>
      </c>
      <c r="C41" s="4">
        <v>4563000</v>
      </c>
      <c r="D41" s="4">
        <v>4514000</v>
      </c>
      <c r="E41" s="4">
        <v>4370000</v>
      </c>
      <c r="G41" s="3" t="s">
        <v>111</v>
      </c>
      <c r="H41" s="4">
        <v>1035200</v>
      </c>
      <c r="I41" s="4">
        <v>1061388</v>
      </c>
      <c r="J41" s="4">
        <v>787311</v>
      </c>
      <c r="K41" s="4">
        <v>1230709</v>
      </c>
    </row>
    <row r="42" spans="1:11">
      <c r="A42" s="3" t="s">
        <v>99</v>
      </c>
      <c r="B42" s="4">
        <v>4098000</v>
      </c>
      <c r="C42" s="4">
        <v>3142000</v>
      </c>
      <c r="D42" s="4">
        <v>2518000</v>
      </c>
      <c r="E42" s="4">
        <v>2777000</v>
      </c>
      <c r="G42" s="3" t="s">
        <v>113</v>
      </c>
      <c r="H42" s="4">
        <v>979563</v>
      </c>
      <c r="I42" s="4">
        <v>973464</v>
      </c>
      <c r="J42" s="4">
        <v>718042</v>
      </c>
      <c r="K42" s="4">
        <v>1162308</v>
      </c>
    </row>
    <row r="43" spans="1:11">
      <c r="A43" s="3" t="s">
        <v>100</v>
      </c>
      <c r="B43" s="4">
        <v>1013000</v>
      </c>
      <c r="C43" s="4">
        <v>858000</v>
      </c>
      <c r="D43" s="4">
        <v>790000</v>
      </c>
      <c r="E43" s="4">
        <v>728000</v>
      </c>
      <c r="G43" s="3" t="s">
        <v>114</v>
      </c>
      <c r="H43" s="4">
        <v>803207</v>
      </c>
      <c r="I43" s="4">
        <v>839362</v>
      </c>
      <c r="J43" s="4">
        <v>565968</v>
      </c>
      <c r="K43" s="4">
        <v>1002404</v>
      </c>
    </row>
    <row r="44" spans="1:11">
      <c r="A44" s="3" t="s">
        <v>101</v>
      </c>
      <c r="B44" s="4">
        <v>3085000</v>
      </c>
      <c r="C44" s="4">
        <v>2284000</v>
      </c>
      <c r="D44" s="4">
        <v>1728000</v>
      </c>
      <c r="E44" s="4">
        <v>2049000</v>
      </c>
      <c r="G44" s="3" t="s">
        <v>115</v>
      </c>
      <c r="H44" s="4">
        <v>176356</v>
      </c>
      <c r="I44" s="4">
        <v>134102</v>
      </c>
      <c r="J44" s="4">
        <v>152074</v>
      </c>
      <c r="K44" s="4">
        <v>159904</v>
      </c>
    </row>
    <row r="45" spans="1:11">
      <c r="A45" s="3" t="s">
        <v>102</v>
      </c>
      <c r="B45" s="4">
        <v>1033000</v>
      </c>
      <c r="C45" s="4">
        <v>751000</v>
      </c>
      <c r="D45" s="4">
        <v>684000</v>
      </c>
      <c r="E45" s="4">
        <v>476000</v>
      </c>
      <c r="G45" s="3" t="s">
        <v>118</v>
      </c>
      <c r="H45" s="4">
        <v>55637</v>
      </c>
      <c r="I45" s="4">
        <v>87924</v>
      </c>
      <c r="J45" s="4">
        <v>69269</v>
      </c>
      <c r="K45" s="4">
        <v>68401</v>
      </c>
    </row>
    <row r="46" spans="1:11">
      <c r="A46" s="3" t="s">
        <v>103</v>
      </c>
      <c r="B46" s="4">
        <v>1626000</v>
      </c>
      <c r="C46" s="4">
        <v>1421000</v>
      </c>
      <c r="D46" s="4">
        <v>1996000</v>
      </c>
      <c r="E46" s="4">
        <v>1593000</v>
      </c>
      <c r="G46" s="3" t="s">
        <v>119</v>
      </c>
      <c r="H46" s="4">
        <v>388668</v>
      </c>
      <c r="I46" s="4">
        <v>541518</v>
      </c>
      <c r="J46" s="4">
        <v>767016</v>
      </c>
      <c r="K46" s="4">
        <v>3273523</v>
      </c>
    </row>
    <row r="47" spans="1:11">
      <c r="A47" s="3" t="s">
        <v>104</v>
      </c>
      <c r="B47" s="4">
        <v>3387000</v>
      </c>
      <c r="C47" s="4">
        <v>2754000</v>
      </c>
      <c r="D47" s="4">
        <v>2077000</v>
      </c>
      <c r="E47" s="4">
        <v>1692000</v>
      </c>
      <c r="G47" s="3" t="s">
        <v>120</v>
      </c>
      <c r="H47" s="4">
        <v>388668</v>
      </c>
      <c r="I47" s="4">
        <v>541518</v>
      </c>
      <c r="J47" s="4">
        <v>767016</v>
      </c>
      <c r="K47" s="4">
        <v>3273523</v>
      </c>
    </row>
    <row r="48" spans="1:11">
      <c r="A48" s="3" t="s">
        <v>105</v>
      </c>
      <c r="B48" s="4">
        <v>777000</v>
      </c>
      <c r="C48" s="4">
        <v>649000</v>
      </c>
      <c r="D48" s="4">
        <v>710000</v>
      </c>
      <c r="E48" s="4">
        <v>587000</v>
      </c>
      <c r="G48" s="3" t="s">
        <v>121</v>
      </c>
      <c r="H48" s="3">
        <v>4</v>
      </c>
      <c r="I48" s="3">
        <v>4</v>
      </c>
      <c r="J48" s="3">
        <v>4</v>
      </c>
      <c r="K48" s="3">
        <v>4</v>
      </c>
    </row>
    <row r="49" spans="1:11">
      <c r="A49" s="3" t="s">
        <v>106</v>
      </c>
      <c r="B49" s="4">
        <v>169000</v>
      </c>
      <c r="C49" s="4">
        <v>1325000</v>
      </c>
      <c r="D49" s="4">
        <v>215000</v>
      </c>
      <c r="E49" s="4">
        <v>201000</v>
      </c>
      <c r="G49" s="3" t="s">
        <v>203</v>
      </c>
      <c r="H49" s="3">
        <v>0</v>
      </c>
      <c r="I49" s="3">
        <v>0</v>
      </c>
      <c r="J49" s="3">
        <v>0</v>
      </c>
      <c r="K49" s="3">
        <v>0</v>
      </c>
    </row>
    <row r="50" spans="1:11">
      <c r="A50" s="3" t="s">
        <v>107</v>
      </c>
      <c r="B50" s="3">
        <v>0</v>
      </c>
      <c r="C50" s="4">
        <v>1150000</v>
      </c>
      <c r="D50" s="4">
        <v>25000</v>
      </c>
      <c r="E50" s="3">
        <v>0</v>
      </c>
      <c r="G50" s="3" t="s">
        <v>122</v>
      </c>
      <c r="H50" s="3">
        <v>4</v>
      </c>
      <c r="I50" s="3">
        <v>4</v>
      </c>
      <c r="J50" s="3">
        <v>4</v>
      </c>
      <c r="K50" s="3">
        <v>4</v>
      </c>
    </row>
    <row r="51" spans="1:11">
      <c r="A51" s="3" t="s">
        <v>108</v>
      </c>
      <c r="B51" s="3">
        <v>0</v>
      </c>
      <c r="C51" s="4">
        <v>1150000</v>
      </c>
      <c r="D51" s="4">
        <v>25000</v>
      </c>
      <c r="E51" s="3">
        <v>0</v>
      </c>
      <c r="G51" s="3" t="s">
        <v>123</v>
      </c>
      <c r="H51" s="4">
        <v>10335013</v>
      </c>
      <c r="I51" s="4">
        <v>10827378</v>
      </c>
      <c r="J51" s="4">
        <v>11035246</v>
      </c>
      <c r="K51" s="4">
        <v>10687017</v>
      </c>
    </row>
    <row r="52" spans="1:11">
      <c r="A52" s="3" t="s">
        <v>109</v>
      </c>
      <c r="B52" s="4">
        <v>169000</v>
      </c>
      <c r="C52" s="4">
        <v>175000</v>
      </c>
      <c r="D52" s="4">
        <v>190000</v>
      </c>
      <c r="E52" s="4">
        <v>201000</v>
      </c>
      <c r="G52" s="3" t="s">
        <v>124</v>
      </c>
      <c r="H52" s="4">
        <v>-9940595</v>
      </c>
      <c r="I52" s="4">
        <v>-10280915</v>
      </c>
      <c r="J52" s="4">
        <v>-10258131</v>
      </c>
      <c r="K52" s="4">
        <v>-7414123</v>
      </c>
    </row>
    <row r="53" spans="1:11">
      <c r="A53" s="3" t="s">
        <v>110</v>
      </c>
      <c r="B53" s="4">
        <v>2263000</v>
      </c>
      <c r="C53" s="4">
        <v>2185000</v>
      </c>
      <c r="D53" s="4">
        <v>1938000</v>
      </c>
      <c r="E53" s="4">
        <v>2003000</v>
      </c>
      <c r="G53" s="3" t="s">
        <v>125</v>
      </c>
      <c r="H53" s="4">
        <v>-5754</v>
      </c>
      <c r="I53" s="4">
        <v>-4949</v>
      </c>
      <c r="J53" s="4">
        <v>-10103</v>
      </c>
      <c r="K53" s="3">
        <v>625</v>
      </c>
    </row>
    <row r="54" spans="1:11">
      <c r="A54" s="3" t="s">
        <v>111</v>
      </c>
      <c r="B54" s="4">
        <v>21399000</v>
      </c>
      <c r="C54" s="4">
        <v>17292000</v>
      </c>
      <c r="D54" s="4">
        <v>16563000</v>
      </c>
      <c r="E54" s="4">
        <v>14752000</v>
      </c>
      <c r="G54" s="3" t="s">
        <v>128</v>
      </c>
      <c r="H54" s="4">
        <v>1191875</v>
      </c>
      <c r="I54" s="4">
        <v>1380880</v>
      </c>
      <c r="J54" s="4">
        <v>1332984</v>
      </c>
      <c r="K54" s="4">
        <v>4275927</v>
      </c>
    </row>
    <row r="55" spans="1:11">
      <c r="A55" s="3" t="s">
        <v>112</v>
      </c>
      <c r="B55" s="4">
        <v>9076000</v>
      </c>
      <c r="C55" s="4">
        <v>7042000</v>
      </c>
      <c r="D55" s="4">
        <v>4909000</v>
      </c>
      <c r="E55" s="4">
        <v>3028000</v>
      </c>
      <c r="G55" s="3" t="s">
        <v>129</v>
      </c>
      <c r="H55" s="4">
        <v>388668</v>
      </c>
      <c r="I55" s="4">
        <v>541518</v>
      </c>
      <c r="J55" s="4">
        <v>767016</v>
      </c>
      <c r="K55" s="4">
        <v>3273523</v>
      </c>
    </row>
    <row r="56" spans="1:11">
      <c r="A56" s="3" t="s">
        <v>113</v>
      </c>
      <c r="B56" s="4">
        <v>11911000</v>
      </c>
      <c r="C56" s="4">
        <v>9801000</v>
      </c>
      <c r="D56" s="4">
        <v>11009000</v>
      </c>
      <c r="E56" s="4">
        <v>10938000</v>
      </c>
      <c r="G56" s="3" t="s">
        <v>130</v>
      </c>
      <c r="H56" s="4">
        <v>222159</v>
      </c>
      <c r="I56" s="4">
        <v>176658</v>
      </c>
      <c r="J56" s="4">
        <v>208534</v>
      </c>
      <c r="K56" s="4">
        <v>223722</v>
      </c>
    </row>
    <row r="57" spans="1:11">
      <c r="A57" s="3" t="s">
        <v>114</v>
      </c>
      <c r="B57" s="4">
        <v>10521000</v>
      </c>
      <c r="C57" s="4">
        <v>8347000</v>
      </c>
      <c r="D57" s="4">
        <v>9459000</v>
      </c>
      <c r="E57" s="4">
        <v>9265000</v>
      </c>
      <c r="G57" s="3" t="s">
        <v>131</v>
      </c>
      <c r="H57" s="4">
        <v>50878</v>
      </c>
      <c r="I57" s="4">
        <v>224212</v>
      </c>
      <c r="J57" s="4">
        <v>472864</v>
      </c>
      <c r="K57" s="4">
        <v>2654825</v>
      </c>
    </row>
    <row r="58" spans="1:11">
      <c r="A58" s="3" t="s">
        <v>115</v>
      </c>
      <c r="B58" s="4">
        <v>1390000</v>
      </c>
      <c r="C58" s="4">
        <v>1454000</v>
      </c>
      <c r="D58" s="4">
        <v>1550000</v>
      </c>
      <c r="E58" s="4">
        <v>1673000</v>
      </c>
      <c r="G58" s="3" t="s">
        <v>132</v>
      </c>
      <c r="H58" s="4">
        <v>-549704</v>
      </c>
      <c r="I58" s="4">
        <v>-384142</v>
      </c>
      <c r="J58" s="4">
        <v>-930209</v>
      </c>
      <c r="K58" s="4">
        <v>-1606306</v>
      </c>
    </row>
    <row r="59" spans="1:11">
      <c r="A59" s="3" t="s">
        <v>116</v>
      </c>
      <c r="B59" s="4">
        <v>31000</v>
      </c>
      <c r="C59" s="4">
        <v>9000</v>
      </c>
      <c r="D59" s="4">
        <v>56000</v>
      </c>
      <c r="E59" s="4">
        <v>27000</v>
      </c>
      <c r="G59" s="3" t="s">
        <v>133</v>
      </c>
      <c r="H59" s="4">
        <v>1228162</v>
      </c>
      <c r="I59" s="4">
        <v>1406678</v>
      </c>
      <c r="J59" s="4">
        <v>1762063</v>
      </c>
      <c r="K59" s="4">
        <v>4326534</v>
      </c>
    </row>
    <row r="60" spans="1:11">
      <c r="A60" s="3" t="s">
        <v>117</v>
      </c>
      <c r="B60" s="4">
        <v>31000</v>
      </c>
      <c r="C60" s="4">
        <v>9000</v>
      </c>
      <c r="D60" s="4">
        <v>56000</v>
      </c>
      <c r="E60" s="4">
        <v>27000</v>
      </c>
      <c r="G60" s="3" t="s">
        <v>134</v>
      </c>
      <c r="H60" s="4">
        <v>50878</v>
      </c>
      <c r="I60" s="4">
        <v>224212</v>
      </c>
      <c r="J60" s="4">
        <v>472864</v>
      </c>
      <c r="K60" s="4">
        <v>2654825</v>
      </c>
    </row>
    <row r="61" spans="1:11">
      <c r="A61" s="3" t="s">
        <v>118</v>
      </c>
      <c r="B61" s="4">
        <v>381000</v>
      </c>
      <c r="C61" s="4">
        <v>440000</v>
      </c>
      <c r="D61" s="4">
        <v>589000</v>
      </c>
      <c r="E61" s="4">
        <v>759000</v>
      </c>
      <c r="G61" s="3" t="s">
        <v>135</v>
      </c>
      <c r="H61" s="4">
        <v>1061653</v>
      </c>
      <c r="I61" s="4">
        <v>1041818</v>
      </c>
      <c r="J61" s="4">
        <v>1203581</v>
      </c>
      <c r="K61" s="4">
        <v>1276733</v>
      </c>
    </row>
    <row r="62" spans="1:11">
      <c r="A62" s="3" t="s">
        <v>119</v>
      </c>
      <c r="B62" s="4">
        <v>28083000</v>
      </c>
      <c r="C62" s="4">
        <v>22476000</v>
      </c>
      <c r="D62" s="4">
        <v>12682000</v>
      </c>
      <c r="E62" s="4">
        <v>8504000</v>
      </c>
      <c r="G62" s="3" t="s">
        <v>136</v>
      </c>
      <c r="H62" s="4">
        <v>558404</v>
      </c>
      <c r="I62" s="4">
        <v>306524</v>
      </c>
      <c r="J62" s="4">
        <v>235728</v>
      </c>
      <c r="K62" s="3">
        <v>0</v>
      </c>
    </row>
    <row r="63" spans="1:11">
      <c r="A63" s="3" t="s">
        <v>120</v>
      </c>
      <c r="B63" s="4">
        <v>27041000</v>
      </c>
      <c r="C63" s="4">
        <v>21558000</v>
      </c>
      <c r="D63" s="4">
        <v>11249000</v>
      </c>
      <c r="E63" s="4">
        <v>7340000</v>
      </c>
      <c r="G63" s="3" t="s">
        <v>137</v>
      </c>
      <c r="H63" s="9">
        <v>370154.99</v>
      </c>
      <c r="I63" s="9">
        <v>399805.68</v>
      </c>
      <c r="J63" s="9">
        <v>418004.63</v>
      </c>
      <c r="K63" s="4">
        <v>400856</v>
      </c>
    </row>
    <row r="64" spans="1:11">
      <c r="A64" s="3" t="s">
        <v>121</v>
      </c>
      <c r="B64" s="3">
        <v>0</v>
      </c>
      <c r="C64" s="3">
        <v>0</v>
      </c>
      <c r="D64" s="3">
        <v>0</v>
      </c>
      <c r="E64" s="3">
        <v>0</v>
      </c>
      <c r="G64" s="3" t="s">
        <v>138</v>
      </c>
      <c r="H64" s="9">
        <v>370154.99</v>
      </c>
      <c r="I64" s="9">
        <v>399805.68</v>
      </c>
      <c r="J64" s="9">
        <v>418004.63</v>
      </c>
      <c r="K64" s="4">
        <v>400856</v>
      </c>
    </row>
    <row r="65" spans="1:11">
      <c r="A65" s="3" t="s">
        <v>122</v>
      </c>
      <c r="B65" s="3">
        <v>0</v>
      </c>
      <c r="C65" s="3">
        <v>0</v>
      </c>
      <c r="D65" s="3">
        <v>0</v>
      </c>
      <c r="E65" s="3">
        <v>0</v>
      </c>
      <c r="G65" s="3" t="s">
        <v>204</v>
      </c>
      <c r="H65" s="3">
        <v>0</v>
      </c>
      <c r="I65" s="3">
        <v>0</v>
      </c>
      <c r="J65" s="3">
        <v>0</v>
      </c>
      <c r="K65" s="3">
        <v>0</v>
      </c>
    </row>
    <row r="66" spans="1:11">
      <c r="A66" s="3" t="s">
        <v>123</v>
      </c>
      <c r="B66" s="4">
        <v>38101000</v>
      </c>
      <c r="C66" s="4">
        <v>42801000</v>
      </c>
      <c r="D66" s="4">
        <v>42264000</v>
      </c>
      <c r="E66" s="4">
        <v>40550000</v>
      </c>
    </row>
    <row r="67" spans="1:11">
      <c r="A67" s="3" t="s">
        <v>124</v>
      </c>
      <c r="B67" s="4">
        <v>-10628000</v>
      </c>
      <c r="C67" s="4">
        <v>-20726000</v>
      </c>
      <c r="D67" s="4">
        <v>-30594000</v>
      </c>
      <c r="E67" s="4">
        <v>-32767000</v>
      </c>
    </row>
    <row r="68" spans="1:11">
      <c r="A68" s="3" t="s">
        <v>125</v>
      </c>
      <c r="B68" s="4">
        <v>-432000</v>
      </c>
      <c r="C68" s="4">
        <v>-517000</v>
      </c>
      <c r="D68" s="4">
        <v>-421000</v>
      </c>
      <c r="E68" s="4">
        <v>-443000</v>
      </c>
    </row>
    <row r="69" spans="1:11">
      <c r="A69" s="3" t="s">
        <v>126</v>
      </c>
      <c r="B69" s="4">
        <v>-432000</v>
      </c>
      <c r="C69" s="4">
        <v>-517000</v>
      </c>
      <c r="D69" s="4">
        <v>-421000</v>
      </c>
      <c r="E69" s="4">
        <v>-443000</v>
      </c>
    </row>
    <row r="70" spans="1:11">
      <c r="A70" s="3" t="s">
        <v>127</v>
      </c>
      <c r="B70" s="4">
        <v>1042000</v>
      </c>
      <c r="C70" s="4">
        <v>918000</v>
      </c>
      <c r="D70" s="4">
        <v>1433000</v>
      </c>
      <c r="E70" s="4">
        <v>1164000</v>
      </c>
    </row>
    <row r="71" spans="1:11">
      <c r="A71" s="3" t="s">
        <v>128</v>
      </c>
      <c r="B71" s="4">
        <v>37562000</v>
      </c>
      <c r="C71" s="4">
        <v>29905000</v>
      </c>
      <c r="D71" s="4">
        <v>20708000</v>
      </c>
      <c r="E71" s="4">
        <v>16605000</v>
      </c>
    </row>
    <row r="72" spans="1:11">
      <c r="A72" s="3" t="s">
        <v>129</v>
      </c>
      <c r="B72" s="4">
        <v>27041000</v>
      </c>
      <c r="C72" s="4">
        <v>21558000</v>
      </c>
      <c r="D72" s="4">
        <v>11249000</v>
      </c>
      <c r="E72" s="4">
        <v>7340000</v>
      </c>
    </row>
    <row r="73" spans="1:11">
      <c r="A73" s="3" t="s">
        <v>130</v>
      </c>
      <c r="B73" s="4">
        <v>1559000</v>
      </c>
      <c r="C73" s="4">
        <v>1629000</v>
      </c>
      <c r="D73" s="4">
        <v>1740000</v>
      </c>
      <c r="E73" s="4">
        <v>1874000</v>
      </c>
    </row>
    <row r="74" spans="1:11">
      <c r="A74" s="3" t="s">
        <v>131</v>
      </c>
      <c r="B74" s="4">
        <v>17062000</v>
      </c>
      <c r="C74" s="4">
        <v>12367000</v>
      </c>
      <c r="D74" s="4">
        <v>1673000</v>
      </c>
      <c r="E74" s="4">
        <v>-2797000</v>
      </c>
    </row>
    <row r="75" spans="1:11">
      <c r="A75" s="3" t="s">
        <v>132</v>
      </c>
      <c r="B75" s="4">
        <v>1673000</v>
      </c>
      <c r="C75" s="4">
        <v>769000</v>
      </c>
      <c r="D75" s="4">
        <v>1843000</v>
      </c>
      <c r="E75" s="4">
        <v>396000</v>
      </c>
    </row>
    <row r="76" spans="1:11">
      <c r="A76" s="3" t="s">
        <v>133</v>
      </c>
      <c r="B76" s="4">
        <v>37562000</v>
      </c>
      <c r="C76" s="4">
        <v>31055000</v>
      </c>
      <c r="D76" s="4">
        <v>20733000</v>
      </c>
      <c r="E76" s="4">
        <v>16605000</v>
      </c>
    </row>
    <row r="77" spans="1:11">
      <c r="A77" s="3" t="s">
        <v>134</v>
      </c>
      <c r="B77" s="4">
        <v>17062000</v>
      </c>
      <c r="C77" s="4">
        <v>12367000</v>
      </c>
      <c r="D77" s="4">
        <v>1673000</v>
      </c>
      <c r="E77" s="4">
        <v>-2797000</v>
      </c>
    </row>
    <row r="78" spans="1:11">
      <c r="A78" s="3" t="s">
        <v>135</v>
      </c>
      <c r="B78" s="4">
        <v>12080000</v>
      </c>
      <c r="C78" s="4">
        <v>11126000</v>
      </c>
      <c r="D78" s="4">
        <v>11224000</v>
      </c>
      <c r="E78" s="4">
        <v>11139000</v>
      </c>
    </row>
    <row r="79" spans="1:11">
      <c r="A79" s="3" t="s">
        <v>136</v>
      </c>
      <c r="B79" s="4">
        <v>3416000</v>
      </c>
      <c r="C79" s="4">
        <v>3604000</v>
      </c>
      <c r="D79" s="4">
        <v>4804000</v>
      </c>
      <c r="E79" s="4">
        <v>5057000</v>
      </c>
    </row>
    <row r="80" spans="1:11">
      <c r="A80" s="3" t="s">
        <v>137</v>
      </c>
      <c r="B80" s="4">
        <v>2067905</v>
      </c>
      <c r="C80" s="4">
        <v>2107953</v>
      </c>
      <c r="D80" s="4">
        <v>2071144</v>
      </c>
      <c r="E80" s="4">
        <v>2005486</v>
      </c>
    </row>
    <row r="81" spans="1:5">
      <c r="A81" s="3" t="s">
        <v>138</v>
      </c>
      <c r="B81" s="4">
        <v>2067905</v>
      </c>
      <c r="C81" s="4">
        <v>2107953</v>
      </c>
      <c r="D81" s="4">
        <v>2071144</v>
      </c>
      <c r="E81" s="4">
        <v>2005486</v>
      </c>
    </row>
  </sheetData>
  <autoFilter ref="A2:E81" xr:uid="{68D6A904-72DC-4766-8A85-3BF191A98B7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21A9E-DC17-4DEF-96BA-1AB9D0704A9C}">
  <dimension ref="A1:M64"/>
  <sheetViews>
    <sheetView showGridLines="0" topLeftCell="H1" workbookViewId="0">
      <selection sqref="A1:U1"/>
    </sheetView>
  </sheetViews>
  <sheetFormatPr defaultRowHeight="15"/>
  <cols>
    <col min="1" max="1" width="39.42578125" hidden="1" customWidth="1"/>
    <col min="2" max="4" width="10.7109375" hidden="1" customWidth="1"/>
    <col min="5" max="6" width="10.28515625" hidden="1" customWidth="1"/>
    <col min="7" max="7" width="0" hidden="1" customWidth="1"/>
    <col min="8" max="8" width="43.140625" bestFit="1" customWidth="1"/>
    <col min="9" max="12" width="10.28515625" bestFit="1" customWidth="1"/>
    <col min="13" max="13" width="9.7109375" bestFit="1" customWidth="1"/>
  </cols>
  <sheetData>
    <row r="1" spans="1:13">
      <c r="A1" t="s">
        <v>57</v>
      </c>
      <c r="H1" t="s">
        <v>59</v>
      </c>
    </row>
    <row r="2" spans="1:13">
      <c r="A2" s="7" t="s">
        <v>0</v>
      </c>
      <c r="B2" s="7" t="s">
        <v>1</v>
      </c>
      <c r="C2" s="8">
        <v>46022</v>
      </c>
      <c r="D2" s="8">
        <v>45657</v>
      </c>
      <c r="E2" s="8">
        <v>45291</v>
      </c>
      <c r="F2" s="8">
        <v>44926</v>
      </c>
      <c r="H2" s="7" t="s">
        <v>0</v>
      </c>
      <c r="I2" s="8">
        <v>44926</v>
      </c>
      <c r="J2" s="8">
        <v>45291</v>
      </c>
      <c r="K2" s="8">
        <v>45657</v>
      </c>
      <c r="L2" s="8">
        <v>46022</v>
      </c>
      <c r="M2" s="7" t="s">
        <v>1</v>
      </c>
    </row>
    <row r="3" spans="1:13">
      <c r="A3" s="3" t="s">
        <v>139</v>
      </c>
      <c r="B3" s="4">
        <v>10126000</v>
      </c>
      <c r="C3" s="4">
        <v>10099000</v>
      </c>
      <c r="D3" s="4">
        <v>7137000</v>
      </c>
      <c r="E3" s="4">
        <v>3585000</v>
      </c>
      <c r="F3" s="4">
        <v>642000</v>
      </c>
      <c r="H3" s="3" t="s">
        <v>139</v>
      </c>
      <c r="I3" s="4">
        <v>-237285</v>
      </c>
      <c r="J3" s="4">
        <v>-98244</v>
      </c>
      <c r="K3" s="4">
        <v>849737</v>
      </c>
      <c r="L3" s="4">
        <v>1168438</v>
      </c>
      <c r="M3" s="4">
        <v>1188883</v>
      </c>
    </row>
    <row r="4" spans="1:13">
      <c r="A4" s="3" t="s">
        <v>140</v>
      </c>
      <c r="B4" s="4">
        <v>10126000</v>
      </c>
      <c r="C4" s="4">
        <v>10099000</v>
      </c>
      <c r="D4" s="4">
        <v>7137000</v>
      </c>
      <c r="E4" s="4">
        <v>3585000</v>
      </c>
      <c r="F4" s="4">
        <v>642000</v>
      </c>
      <c r="H4" s="3" t="s">
        <v>140</v>
      </c>
      <c r="I4" s="4">
        <v>-237285</v>
      </c>
      <c r="J4" s="4">
        <v>-98244</v>
      </c>
      <c r="K4" s="4">
        <v>849737</v>
      </c>
      <c r="L4" s="4">
        <v>1168438</v>
      </c>
      <c r="M4" s="4">
        <v>1188883</v>
      </c>
    </row>
    <row r="5" spans="1:13">
      <c r="A5" s="3" t="s">
        <v>141</v>
      </c>
      <c r="B5" s="4">
        <v>8601000</v>
      </c>
      <c r="C5" s="4">
        <v>10093000</v>
      </c>
      <c r="D5" s="4">
        <v>9845000</v>
      </c>
      <c r="E5" s="4">
        <v>2156000</v>
      </c>
      <c r="F5" s="4">
        <v>-9138000</v>
      </c>
      <c r="H5" s="3" t="s">
        <v>141</v>
      </c>
      <c r="I5" s="4">
        <v>-1584511</v>
      </c>
      <c r="J5" s="4">
        <v>-340320</v>
      </c>
      <c r="K5" s="4">
        <v>22784</v>
      </c>
      <c r="L5" s="4">
        <v>2844008</v>
      </c>
      <c r="M5" s="4">
        <v>2855691</v>
      </c>
    </row>
    <row r="6" spans="1:13">
      <c r="A6" s="3" t="s">
        <v>142</v>
      </c>
      <c r="B6" s="4">
        <v>-64000</v>
      </c>
      <c r="C6" s="4">
        <v>-120000</v>
      </c>
      <c r="D6" s="4">
        <v>308000</v>
      </c>
      <c r="E6" s="4">
        <v>138000</v>
      </c>
      <c r="F6" s="4">
        <v>-216000</v>
      </c>
      <c r="H6" s="3" t="s">
        <v>142</v>
      </c>
      <c r="I6" s="4">
        <v>-60655</v>
      </c>
      <c r="J6" s="4">
        <v>-11278</v>
      </c>
      <c r="K6" s="4">
        <v>-21779</v>
      </c>
      <c r="L6" s="4">
        <v>7569</v>
      </c>
      <c r="M6" s="4">
        <v>11156</v>
      </c>
    </row>
    <row r="7" spans="1:13">
      <c r="A7" s="3" t="s">
        <v>143</v>
      </c>
      <c r="B7" s="3">
        <v>0</v>
      </c>
      <c r="C7" s="3">
        <v>0</v>
      </c>
      <c r="D7" s="3">
        <v>0</v>
      </c>
      <c r="E7" s="4">
        <v>-204000</v>
      </c>
      <c r="F7" s="4">
        <v>-14000</v>
      </c>
      <c r="H7" s="3" t="s">
        <v>143</v>
      </c>
      <c r="I7" s="3">
        <v>0</v>
      </c>
      <c r="J7" s="3">
        <v>0</v>
      </c>
      <c r="K7" s="4">
        <v>-29610</v>
      </c>
      <c r="L7" s="3">
        <v>0</v>
      </c>
      <c r="M7" s="3">
        <v>0</v>
      </c>
    </row>
    <row r="8" spans="1:13">
      <c r="A8" s="3" t="s">
        <v>144</v>
      </c>
      <c r="B8" s="4">
        <v>-64000</v>
      </c>
      <c r="C8" s="4">
        <v>-120000</v>
      </c>
      <c r="D8" s="4">
        <v>308000</v>
      </c>
      <c r="E8" s="4">
        <v>138000</v>
      </c>
      <c r="F8" s="4">
        <v>96000</v>
      </c>
      <c r="H8" s="3" t="s">
        <v>12</v>
      </c>
      <c r="I8" s="4">
        <v>154798</v>
      </c>
      <c r="J8" s="4">
        <v>116513</v>
      </c>
      <c r="K8" s="4">
        <v>148892</v>
      </c>
      <c r="L8" s="4">
        <v>135227</v>
      </c>
      <c r="M8" s="4">
        <v>138280</v>
      </c>
    </row>
    <row r="9" spans="1:13">
      <c r="A9" s="3" t="s">
        <v>145</v>
      </c>
      <c r="B9" s="3">
        <v>0</v>
      </c>
      <c r="C9" s="3">
        <v>0</v>
      </c>
      <c r="D9" s="3">
        <v>0</v>
      </c>
      <c r="E9" s="4">
        <v>74000</v>
      </c>
      <c r="F9" s="4">
        <v>-191000</v>
      </c>
      <c r="H9" s="3" t="s">
        <v>13</v>
      </c>
      <c r="I9" s="4">
        <v>154798</v>
      </c>
      <c r="J9" s="4">
        <v>116513</v>
      </c>
      <c r="K9" s="4">
        <v>148892</v>
      </c>
      <c r="L9" s="4">
        <v>135227</v>
      </c>
      <c r="M9" s="4">
        <v>138280</v>
      </c>
    </row>
    <row r="10" spans="1:13">
      <c r="A10" s="3" t="s">
        <v>146</v>
      </c>
      <c r="B10" s="3">
        <v>0</v>
      </c>
      <c r="C10" s="3">
        <v>0</v>
      </c>
      <c r="D10" s="4">
        <v>38000</v>
      </c>
      <c r="E10" s="4">
        <v>-48000</v>
      </c>
      <c r="F10" s="4">
        <v>-107000</v>
      </c>
      <c r="H10" s="3" t="s">
        <v>147</v>
      </c>
      <c r="I10" s="3">
        <v>0</v>
      </c>
      <c r="J10" s="4">
        <v>-2385</v>
      </c>
      <c r="K10" s="4">
        <v>-1876</v>
      </c>
      <c r="L10" s="4">
        <v>-2895119</v>
      </c>
      <c r="M10" s="4">
        <v>-2893370</v>
      </c>
    </row>
    <row r="11" spans="1:13">
      <c r="A11" s="3" t="s">
        <v>12</v>
      </c>
      <c r="B11" s="4">
        <v>760000</v>
      </c>
      <c r="C11" s="4">
        <v>747000</v>
      </c>
      <c r="D11" s="4">
        <v>737000</v>
      </c>
      <c r="E11" s="4">
        <v>823000</v>
      </c>
      <c r="F11" s="4">
        <v>947000</v>
      </c>
      <c r="H11" s="3" t="s">
        <v>148</v>
      </c>
      <c r="I11" s="3">
        <v>0</v>
      </c>
      <c r="J11" s="4">
        <v>-2385</v>
      </c>
      <c r="K11" s="4">
        <v>-1876</v>
      </c>
      <c r="L11" s="4">
        <v>-2895119</v>
      </c>
      <c r="M11" s="4">
        <v>-2893370</v>
      </c>
    </row>
    <row r="12" spans="1:13">
      <c r="A12" s="3" t="s">
        <v>13</v>
      </c>
      <c r="B12" s="4">
        <v>760000</v>
      </c>
      <c r="C12" s="4">
        <v>747000</v>
      </c>
      <c r="D12" s="4">
        <v>737000</v>
      </c>
      <c r="E12" s="4">
        <v>823000</v>
      </c>
      <c r="F12" s="4">
        <v>947000</v>
      </c>
      <c r="H12" s="3" t="s">
        <v>205</v>
      </c>
      <c r="I12" s="4">
        <v>-20290</v>
      </c>
      <c r="J12" s="4">
        <v>-68008</v>
      </c>
      <c r="K12" s="4">
        <v>-89141</v>
      </c>
      <c r="L12" s="4">
        <v>-68929</v>
      </c>
      <c r="M12" s="4">
        <v>-60681</v>
      </c>
    </row>
    <row r="13" spans="1:13">
      <c r="A13" s="3" t="s">
        <v>147</v>
      </c>
      <c r="B13" s="4">
        <v>-4261000</v>
      </c>
      <c r="C13" s="4">
        <v>-4779000</v>
      </c>
      <c r="D13" s="4">
        <v>-6027000</v>
      </c>
      <c r="E13" s="4">
        <v>26000</v>
      </c>
      <c r="F13" s="4">
        <v>-441000</v>
      </c>
      <c r="H13" s="3" t="s">
        <v>149</v>
      </c>
      <c r="I13" s="4">
        <v>135714</v>
      </c>
      <c r="J13" s="3">
        <v>0</v>
      </c>
      <c r="K13" s="3">
        <v>0</v>
      </c>
      <c r="L13" s="3">
        <v>0</v>
      </c>
      <c r="M13" s="3">
        <v>0</v>
      </c>
    </row>
    <row r="14" spans="1:13">
      <c r="A14" s="3" t="s">
        <v>148</v>
      </c>
      <c r="B14" s="4">
        <v>-4261000</v>
      </c>
      <c r="C14" s="4">
        <v>-4779000</v>
      </c>
      <c r="D14" s="4">
        <v>-6027000</v>
      </c>
      <c r="E14" s="4">
        <v>26000</v>
      </c>
      <c r="F14" s="4">
        <v>-441000</v>
      </c>
      <c r="H14" s="3" t="s">
        <v>151</v>
      </c>
      <c r="I14" s="4">
        <v>750767</v>
      </c>
      <c r="J14" s="4">
        <v>484533</v>
      </c>
      <c r="K14" s="4">
        <v>330921</v>
      </c>
      <c r="L14" s="4">
        <v>322268</v>
      </c>
      <c r="M14" s="4">
        <v>315988</v>
      </c>
    </row>
    <row r="15" spans="1:13">
      <c r="A15" s="3" t="s">
        <v>149</v>
      </c>
      <c r="B15" s="3">
        <v>0</v>
      </c>
      <c r="C15" s="3">
        <v>0</v>
      </c>
      <c r="D15" s="4">
        <v>61000</v>
      </c>
      <c r="E15" s="4">
        <v>178000</v>
      </c>
      <c r="F15" s="4">
        <v>324000</v>
      </c>
      <c r="H15" s="3" t="s">
        <v>152</v>
      </c>
      <c r="I15" s="4">
        <v>26415</v>
      </c>
      <c r="J15" s="4">
        <v>-1384</v>
      </c>
      <c r="K15" s="4">
        <v>6206</v>
      </c>
      <c r="L15" s="4">
        <v>-5577</v>
      </c>
      <c r="M15" s="4">
        <v>-4481</v>
      </c>
    </row>
    <row r="16" spans="1:13">
      <c r="A16" s="3" t="s">
        <v>150</v>
      </c>
      <c r="B16" s="4">
        <v>1622000</v>
      </c>
      <c r="C16" s="4">
        <v>97000</v>
      </c>
      <c r="D16" s="4">
        <v>-1832000</v>
      </c>
      <c r="E16" s="4">
        <v>-1610000</v>
      </c>
      <c r="F16" s="4">
        <v>7045000</v>
      </c>
      <c r="H16" s="3" t="s">
        <v>153</v>
      </c>
      <c r="I16" s="4">
        <v>360477</v>
      </c>
      <c r="J16" s="4">
        <v>-275915</v>
      </c>
      <c r="K16" s="4">
        <v>453730</v>
      </c>
      <c r="L16" s="4">
        <v>828991</v>
      </c>
      <c r="M16" s="4">
        <v>826300</v>
      </c>
    </row>
    <row r="17" spans="1:13">
      <c r="A17" s="3" t="s">
        <v>151</v>
      </c>
      <c r="B17" s="4">
        <v>1864000</v>
      </c>
      <c r="C17" s="4">
        <v>1826000</v>
      </c>
      <c r="D17" s="4">
        <v>1796000</v>
      </c>
      <c r="E17" s="4">
        <v>1935000</v>
      </c>
      <c r="F17" s="4">
        <v>1793000</v>
      </c>
      <c r="H17" s="3" t="s">
        <v>156</v>
      </c>
      <c r="I17" s="4">
        <v>-275945</v>
      </c>
      <c r="J17" s="4">
        <v>-86600</v>
      </c>
      <c r="K17" s="4">
        <v>-76440</v>
      </c>
      <c r="L17" s="4">
        <v>-51032</v>
      </c>
      <c r="M17" s="4">
        <v>31932</v>
      </c>
    </row>
    <row r="18" spans="1:13">
      <c r="A18" s="3" t="s">
        <v>152</v>
      </c>
      <c r="B18" s="4">
        <v>55000</v>
      </c>
      <c r="C18" s="4">
        <v>8000</v>
      </c>
      <c r="D18" s="4">
        <v>-64000</v>
      </c>
      <c r="E18" s="4">
        <v>-48000</v>
      </c>
      <c r="F18" s="4">
        <v>-7000</v>
      </c>
      <c r="H18" s="3" t="s">
        <v>157</v>
      </c>
      <c r="I18" s="4">
        <v>235143</v>
      </c>
      <c r="J18" s="4">
        <v>-114587</v>
      </c>
      <c r="K18" s="4">
        <v>187726</v>
      </c>
      <c r="L18" s="4">
        <v>407248</v>
      </c>
      <c r="M18" s="4">
        <v>377709</v>
      </c>
    </row>
    <row r="19" spans="1:13">
      <c r="A19" s="3" t="s">
        <v>153</v>
      </c>
      <c r="B19" s="4">
        <v>1549000</v>
      </c>
      <c r="C19" s="4">
        <v>2227000</v>
      </c>
      <c r="D19" s="4">
        <v>2374000</v>
      </c>
      <c r="E19" s="4">
        <v>165000</v>
      </c>
      <c r="F19" s="4">
        <v>335000</v>
      </c>
      <c r="H19" s="3" t="s">
        <v>158</v>
      </c>
      <c r="I19" s="4">
        <v>-27215</v>
      </c>
      <c r="J19" s="4">
        <v>-41079</v>
      </c>
      <c r="K19" s="4">
        <v>21712</v>
      </c>
      <c r="L19" s="4">
        <v>21684</v>
      </c>
      <c r="M19" s="4">
        <v>12700</v>
      </c>
    </row>
    <row r="20" spans="1:13">
      <c r="A20" s="3" t="s">
        <v>154</v>
      </c>
      <c r="B20" s="4">
        <v>-417000</v>
      </c>
      <c r="C20" s="4">
        <v>-466000</v>
      </c>
      <c r="D20" s="4">
        <v>-142000</v>
      </c>
      <c r="E20" s="4">
        <v>-758000</v>
      </c>
      <c r="F20" s="4">
        <v>-542000</v>
      </c>
      <c r="H20" s="3" t="s">
        <v>159</v>
      </c>
      <c r="I20" s="4">
        <v>-27215</v>
      </c>
      <c r="J20" s="4">
        <v>-41079</v>
      </c>
      <c r="K20" s="4">
        <v>21712</v>
      </c>
      <c r="L20" s="4">
        <v>21684</v>
      </c>
      <c r="M20" s="4">
        <v>12700</v>
      </c>
    </row>
    <row r="21" spans="1:13">
      <c r="A21" s="3" t="s">
        <v>155</v>
      </c>
      <c r="B21" s="4">
        <v>-417000</v>
      </c>
      <c r="C21" s="4">
        <v>-466000</v>
      </c>
      <c r="D21" s="4">
        <v>-142000</v>
      </c>
      <c r="E21" s="4">
        <v>-758000</v>
      </c>
      <c r="F21" s="4">
        <v>-542000</v>
      </c>
      <c r="H21" s="3" t="s">
        <v>160</v>
      </c>
      <c r="I21" s="4">
        <v>262358</v>
      </c>
      <c r="J21" s="4">
        <v>-73508</v>
      </c>
      <c r="K21" s="4">
        <v>166014</v>
      </c>
      <c r="L21" s="4">
        <v>385564</v>
      </c>
      <c r="M21" s="4">
        <v>365009</v>
      </c>
    </row>
    <row r="22" spans="1:13">
      <c r="A22" s="3" t="s">
        <v>156</v>
      </c>
      <c r="B22" s="4">
        <v>-743000</v>
      </c>
      <c r="C22" s="4">
        <v>-1028000</v>
      </c>
      <c r="D22" s="4">
        <v>-694000</v>
      </c>
      <c r="E22" s="4">
        <v>-1462000</v>
      </c>
      <c r="F22" s="4">
        <v>-196000</v>
      </c>
      <c r="H22" s="3" t="s">
        <v>161</v>
      </c>
      <c r="I22" s="4">
        <v>96317</v>
      </c>
      <c r="J22" s="4">
        <v>20046</v>
      </c>
      <c r="K22" s="4">
        <v>26276</v>
      </c>
      <c r="L22" s="4">
        <v>26978</v>
      </c>
      <c r="M22" s="4">
        <v>28899</v>
      </c>
    </row>
    <row r="23" spans="1:13">
      <c r="A23" s="3" t="s">
        <v>157</v>
      </c>
      <c r="B23" s="4">
        <v>2960000</v>
      </c>
      <c r="C23" s="4">
        <v>3753000</v>
      </c>
      <c r="D23" s="4">
        <v>3235000</v>
      </c>
      <c r="E23" s="4">
        <v>2374000</v>
      </c>
      <c r="F23" s="4">
        <v>1095000</v>
      </c>
      <c r="H23" s="3" t="s">
        <v>162</v>
      </c>
      <c r="I23" s="4">
        <v>-43759</v>
      </c>
      <c r="J23" s="4">
        <v>-15292</v>
      </c>
      <c r="K23" s="4">
        <v>-47356</v>
      </c>
      <c r="L23" s="4">
        <v>-33236</v>
      </c>
      <c r="M23" s="4">
        <v>-33716</v>
      </c>
    </row>
    <row r="24" spans="1:13">
      <c r="A24" s="3" t="s">
        <v>158</v>
      </c>
      <c r="B24" s="4">
        <v>304000</v>
      </c>
      <c r="C24" s="4">
        <v>126000</v>
      </c>
      <c r="D24" s="4">
        <v>86000</v>
      </c>
      <c r="E24" s="4">
        <v>64000</v>
      </c>
      <c r="F24" s="4">
        <v>-133000</v>
      </c>
      <c r="H24" s="3" t="s">
        <v>163</v>
      </c>
      <c r="I24" s="4">
        <v>348721</v>
      </c>
      <c r="J24" s="4">
        <v>-79482</v>
      </c>
      <c r="K24" s="4">
        <v>363524</v>
      </c>
      <c r="L24" s="4">
        <v>479033</v>
      </c>
      <c r="M24" s="4">
        <v>421476</v>
      </c>
    </row>
    <row r="25" spans="1:13">
      <c r="A25" s="3" t="s">
        <v>159</v>
      </c>
      <c r="B25" s="4">
        <v>304000</v>
      </c>
      <c r="C25" s="4">
        <v>126000</v>
      </c>
      <c r="D25" s="4">
        <v>86000</v>
      </c>
      <c r="E25" s="4">
        <v>64000</v>
      </c>
      <c r="F25" s="4">
        <v>-133000</v>
      </c>
      <c r="H25" s="3" t="s">
        <v>164</v>
      </c>
      <c r="I25" s="4">
        <v>186045</v>
      </c>
      <c r="J25" s="4">
        <v>599753</v>
      </c>
      <c r="K25" s="4">
        <v>-517978</v>
      </c>
      <c r="L25" s="4">
        <v>406738</v>
      </c>
      <c r="M25" s="4">
        <v>391882</v>
      </c>
    </row>
    <row r="26" spans="1:13">
      <c r="A26" s="3" t="s">
        <v>160</v>
      </c>
      <c r="B26" s="4">
        <v>2656000</v>
      </c>
      <c r="C26" s="4">
        <v>3627000</v>
      </c>
      <c r="D26" s="4">
        <v>3149000</v>
      </c>
      <c r="E26" s="4">
        <v>2310000</v>
      </c>
      <c r="F26" s="4">
        <v>1228000</v>
      </c>
      <c r="H26" s="3" t="s">
        <v>165</v>
      </c>
      <c r="I26" s="4">
        <v>186045</v>
      </c>
      <c r="J26" s="4">
        <v>599753</v>
      </c>
      <c r="K26" s="4">
        <v>-517978</v>
      </c>
      <c r="L26" s="4">
        <v>406738</v>
      </c>
      <c r="M26" s="4">
        <v>391882</v>
      </c>
    </row>
    <row r="27" spans="1:13">
      <c r="A27" s="3" t="s">
        <v>161</v>
      </c>
      <c r="B27" s="4">
        <v>196000</v>
      </c>
      <c r="C27" s="4">
        <v>177000</v>
      </c>
      <c r="D27" s="4">
        <v>196000</v>
      </c>
      <c r="E27" s="4">
        <v>191000</v>
      </c>
      <c r="F27" s="4">
        <v>193000</v>
      </c>
      <c r="H27" s="3" t="s">
        <v>166</v>
      </c>
      <c r="I27" s="4">
        <v>14870</v>
      </c>
      <c r="J27" s="4">
        <v>-57225</v>
      </c>
      <c r="K27" s="4">
        <v>8575</v>
      </c>
      <c r="L27" s="3">
        <v>71</v>
      </c>
      <c r="M27" s="4">
        <v>-10686</v>
      </c>
    </row>
    <row r="28" spans="1:13">
      <c r="A28" s="3" t="s">
        <v>162</v>
      </c>
      <c r="B28" s="4">
        <v>-215000</v>
      </c>
      <c r="C28" s="4">
        <v>-209000</v>
      </c>
      <c r="D28" s="4">
        <v>-221000</v>
      </c>
      <c r="E28" s="4">
        <v>-180000</v>
      </c>
      <c r="F28" s="4">
        <v>-215000</v>
      </c>
      <c r="H28" s="3" t="s">
        <v>167</v>
      </c>
      <c r="I28" s="4">
        <v>-114970</v>
      </c>
      <c r="J28" s="4">
        <v>-149819</v>
      </c>
      <c r="K28" s="4">
        <v>-83470</v>
      </c>
      <c r="L28" s="4">
        <v>-52822</v>
      </c>
      <c r="M28" s="4">
        <v>-66745</v>
      </c>
    </row>
    <row r="29" spans="1:13">
      <c r="A29" s="3" t="s">
        <v>163</v>
      </c>
      <c r="B29" s="3">
        <v>0</v>
      </c>
      <c r="C29" s="3">
        <v>0</v>
      </c>
      <c r="D29" s="3">
        <v>0</v>
      </c>
      <c r="E29" s="4">
        <v>2015000</v>
      </c>
      <c r="F29" s="4">
        <v>736000</v>
      </c>
      <c r="H29" s="3" t="s">
        <v>206</v>
      </c>
      <c r="I29" s="4">
        <v>129840</v>
      </c>
      <c r="J29" s="4">
        <v>92594</v>
      </c>
      <c r="K29" s="4">
        <v>92045</v>
      </c>
      <c r="L29" s="4">
        <v>52893</v>
      </c>
      <c r="M29" s="4">
        <v>56059</v>
      </c>
    </row>
    <row r="30" spans="1:13">
      <c r="A30" s="3" t="s">
        <v>164</v>
      </c>
      <c r="B30" s="4">
        <v>-3795000</v>
      </c>
      <c r="C30" s="4">
        <v>-3564000</v>
      </c>
      <c r="D30" s="4">
        <v>-3177000</v>
      </c>
      <c r="E30" s="4">
        <v>-3226000</v>
      </c>
      <c r="F30" s="4">
        <v>-1637000</v>
      </c>
      <c r="H30" s="3" t="s">
        <v>168</v>
      </c>
      <c r="I30" s="4">
        <v>-146334</v>
      </c>
      <c r="J30" s="4">
        <v>1630</v>
      </c>
      <c r="K30" s="3">
        <v>0</v>
      </c>
      <c r="L30" s="4">
        <v>-307320</v>
      </c>
      <c r="M30" s="3">
        <v>0</v>
      </c>
    </row>
    <row r="31" spans="1:13">
      <c r="A31" s="3" t="s">
        <v>165</v>
      </c>
      <c r="B31" s="4">
        <v>-3795000</v>
      </c>
      <c r="C31" s="4">
        <v>-3564000</v>
      </c>
      <c r="D31" s="4">
        <v>-3177000</v>
      </c>
      <c r="E31" s="4">
        <v>-3226000</v>
      </c>
      <c r="F31" s="4">
        <v>-1637000</v>
      </c>
      <c r="H31" s="3" t="s">
        <v>169</v>
      </c>
      <c r="I31" s="4">
        <v>-146334</v>
      </c>
      <c r="J31" s="3">
        <v>0</v>
      </c>
      <c r="K31" s="3">
        <v>0</v>
      </c>
      <c r="L31" s="4">
        <v>-307320</v>
      </c>
      <c r="M31" s="3">
        <v>0</v>
      </c>
    </row>
    <row r="32" spans="1:13">
      <c r="A32" s="3" t="s">
        <v>166</v>
      </c>
      <c r="B32" s="4">
        <v>-327000</v>
      </c>
      <c r="C32" s="4">
        <v>-336000</v>
      </c>
      <c r="D32" s="4">
        <v>-242000</v>
      </c>
      <c r="E32" s="4">
        <v>-223000</v>
      </c>
      <c r="F32" s="4">
        <v>-252000</v>
      </c>
      <c r="H32" s="3" t="s">
        <v>170</v>
      </c>
      <c r="I32" s="3">
        <v>0</v>
      </c>
      <c r="J32" s="4">
        <v>1630</v>
      </c>
      <c r="K32" s="3">
        <v>0</v>
      </c>
      <c r="L32" s="3">
        <v>0</v>
      </c>
      <c r="M32" s="3">
        <v>0</v>
      </c>
    </row>
    <row r="33" spans="1:13">
      <c r="A33" s="3" t="s">
        <v>167</v>
      </c>
      <c r="B33" s="4">
        <v>-327000</v>
      </c>
      <c r="C33" s="4">
        <v>-336000</v>
      </c>
      <c r="D33" s="4">
        <v>-242000</v>
      </c>
      <c r="E33" s="4">
        <v>-223000</v>
      </c>
      <c r="F33" s="4">
        <v>-252000</v>
      </c>
      <c r="H33" s="3" t="s">
        <v>171</v>
      </c>
      <c r="I33" s="4">
        <v>317509</v>
      </c>
      <c r="J33" s="4">
        <v>649848</v>
      </c>
      <c r="K33" s="4">
        <v>-527856</v>
      </c>
      <c r="L33" s="4">
        <v>715317</v>
      </c>
      <c r="M33" s="4">
        <v>710979</v>
      </c>
    </row>
    <row r="34" spans="1:13">
      <c r="A34" s="3" t="s">
        <v>168</v>
      </c>
      <c r="B34" s="4">
        <v>-821000</v>
      </c>
      <c r="C34" s="4">
        <v>-815000</v>
      </c>
      <c r="D34" s="4">
        <v>17000</v>
      </c>
      <c r="E34" s="4">
        <v>721000</v>
      </c>
      <c r="F34" s="4">
        <v>-33000</v>
      </c>
      <c r="H34" s="3" t="s">
        <v>172</v>
      </c>
      <c r="I34" s="4">
        <v>-4063101</v>
      </c>
      <c r="J34" s="4">
        <v>-3292198</v>
      </c>
      <c r="K34" s="4">
        <v>-4181817</v>
      </c>
      <c r="L34" s="4">
        <v>-3344891</v>
      </c>
      <c r="M34" s="4">
        <v>-3276284</v>
      </c>
    </row>
    <row r="35" spans="1:13">
      <c r="A35" s="3" t="s">
        <v>169</v>
      </c>
      <c r="B35" s="4">
        <v>-821000</v>
      </c>
      <c r="C35" s="4">
        <v>-815000</v>
      </c>
      <c r="D35" s="3">
        <v>0</v>
      </c>
      <c r="E35" s="3">
        <v>0</v>
      </c>
      <c r="F35" s="4">
        <v>-59000</v>
      </c>
      <c r="H35" s="3" t="s">
        <v>173</v>
      </c>
      <c r="I35" s="4">
        <v>4380610</v>
      </c>
      <c r="J35" s="4">
        <v>3942046</v>
      </c>
      <c r="K35" s="4">
        <v>3653961</v>
      </c>
      <c r="L35" s="4">
        <v>4060208</v>
      </c>
      <c r="M35" s="4">
        <v>3987263</v>
      </c>
    </row>
    <row r="36" spans="1:13">
      <c r="A36" s="3" t="s">
        <v>170</v>
      </c>
      <c r="B36" s="3">
        <v>0</v>
      </c>
      <c r="C36" s="3">
        <v>0</v>
      </c>
      <c r="D36" s="4">
        <v>17000</v>
      </c>
      <c r="E36" s="4">
        <v>721000</v>
      </c>
      <c r="F36" s="4">
        <v>26000</v>
      </c>
      <c r="H36" s="3" t="s">
        <v>174</v>
      </c>
      <c r="I36" s="3">
        <v>0</v>
      </c>
      <c r="J36" s="4">
        <v>5500</v>
      </c>
      <c r="K36" s="4">
        <v>1303</v>
      </c>
      <c r="L36" s="4">
        <v>-1330</v>
      </c>
      <c r="M36" s="3">
        <v>0</v>
      </c>
    </row>
    <row r="37" spans="1:13">
      <c r="A37" s="3" t="s">
        <v>171</v>
      </c>
      <c r="B37" s="4">
        <v>-2447000</v>
      </c>
      <c r="C37" s="4">
        <v>-2077000</v>
      </c>
      <c r="D37" s="4">
        <v>-2850000</v>
      </c>
      <c r="E37" s="4">
        <v>-3757000</v>
      </c>
      <c r="F37" s="4">
        <v>-1346000</v>
      </c>
      <c r="H37" s="3" t="s">
        <v>175</v>
      </c>
      <c r="I37" s="4">
        <v>-87500</v>
      </c>
      <c r="J37" s="4">
        <v>-122078</v>
      </c>
      <c r="K37" s="4">
        <v>-155869</v>
      </c>
      <c r="L37" s="4">
        <v>-685528</v>
      </c>
      <c r="M37" s="4">
        <v>-1000431</v>
      </c>
    </row>
    <row r="38" spans="1:13">
      <c r="A38" s="3" t="s">
        <v>172</v>
      </c>
      <c r="B38" s="4">
        <v>-26642000</v>
      </c>
      <c r="C38" s="4">
        <v>-22123000</v>
      </c>
      <c r="D38" s="4">
        <v>-13054000</v>
      </c>
      <c r="E38" s="4">
        <v>-8826000</v>
      </c>
      <c r="F38" s="4">
        <v>-1722000</v>
      </c>
      <c r="H38" s="3" t="s">
        <v>176</v>
      </c>
      <c r="I38" s="4">
        <v>-87500</v>
      </c>
      <c r="J38" s="4">
        <v>-122078</v>
      </c>
      <c r="K38" s="4">
        <v>-155869</v>
      </c>
      <c r="L38" s="4">
        <v>-685528</v>
      </c>
      <c r="M38" s="4">
        <v>-1000431</v>
      </c>
    </row>
    <row r="39" spans="1:13">
      <c r="A39" s="3" t="s">
        <v>173</v>
      </c>
      <c r="B39" s="4">
        <v>24195000</v>
      </c>
      <c r="C39" s="4">
        <v>20046000</v>
      </c>
      <c r="D39" s="4">
        <v>10204000</v>
      </c>
      <c r="E39" s="4">
        <v>5069000</v>
      </c>
      <c r="F39" s="4">
        <v>376000</v>
      </c>
      <c r="H39" s="3" t="s">
        <v>177</v>
      </c>
      <c r="I39" s="4">
        <v>-102422</v>
      </c>
      <c r="J39" s="4">
        <v>-115950</v>
      </c>
      <c r="K39" s="4">
        <v>-20818</v>
      </c>
      <c r="L39" s="4">
        <v>5583</v>
      </c>
      <c r="M39" s="4">
        <v>1510</v>
      </c>
    </row>
    <row r="40" spans="1:13">
      <c r="A40" s="3" t="s">
        <v>174</v>
      </c>
      <c r="B40" s="4">
        <v>-200000</v>
      </c>
      <c r="C40" s="4">
        <v>-336000</v>
      </c>
      <c r="D40" s="4">
        <v>-102000</v>
      </c>
      <c r="E40" s="4">
        <v>33000</v>
      </c>
      <c r="F40" s="4">
        <v>-6000</v>
      </c>
      <c r="H40" s="3" t="s">
        <v>178</v>
      </c>
      <c r="I40" s="4">
        <v>-102422</v>
      </c>
      <c r="J40" s="4">
        <v>-115950</v>
      </c>
      <c r="K40" s="4">
        <v>-130818</v>
      </c>
      <c r="L40" s="4">
        <v>-103698</v>
      </c>
      <c r="M40" s="4">
        <v>-107771</v>
      </c>
    </row>
    <row r="41" spans="1:13">
      <c r="A41" s="3" t="s">
        <v>175</v>
      </c>
      <c r="B41" s="4">
        <v>-6942000</v>
      </c>
      <c r="C41" s="4">
        <v>-5713000</v>
      </c>
      <c r="D41" s="4">
        <v>-2087000</v>
      </c>
      <c r="E41" s="4">
        <v>-95000</v>
      </c>
      <c r="F41" s="4">
        <v>15000</v>
      </c>
      <c r="H41" s="3" t="s">
        <v>179</v>
      </c>
      <c r="I41" s="3">
        <v>0</v>
      </c>
      <c r="J41" s="3">
        <v>0</v>
      </c>
      <c r="K41" s="3">
        <v>0</v>
      </c>
      <c r="L41" s="3">
        <v>0</v>
      </c>
      <c r="M41" s="3">
        <v>0</v>
      </c>
    </row>
    <row r="42" spans="1:13">
      <c r="A42" s="3" t="s">
        <v>176</v>
      </c>
      <c r="B42" s="4">
        <v>-6942000</v>
      </c>
      <c r="C42" s="4">
        <v>-5713000</v>
      </c>
      <c r="D42" s="4">
        <v>-2087000</v>
      </c>
      <c r="E42" s="4">
        <v>-95000</v>
      </c>
      <c r="F42" s="4">
        <v>15000</v>
      </c>
      <c r="H42" s="3" t="s">
        <v>180</v>
      </c>
      <c r="I42" s="4">
        <v>-102422</v>
      </c>
      <c r="J42" s="4">
        <v>-115950</v>
      </c>
      <c r="K42" s="4">
        <v>-130818</v>
      </c>
      <c r="L42" s="4">
        <v>-103698</v>
      </c>
      <c r="M42" s="4">
        <v>-107771</v>
      </c>
    </row>
    <row r="43" spans="1:13">
      <c r="A43" s="3" t="s">
        <v>177</v>
      </c>
      <c r="B43" s="4">
        <v>859000</v>
      </c>
      <c r="C43" s="4">
        <v>852000</v>
      </c>
      <c r="D43" s="4">
        <v>-186000</v>
      </c>
      <c r="E43" s="4">
        <v>-22000</v>
      </c>
      <c r="F43" s="4">
        <v>-264000</v>
      </c>
      <c r="H43" s="3" t="s">
        <v>207</v>
      </c>
      <c r="I43" s="3">
        <v>0</v>
      </c>
      <c r="J43" s="3">
        <v>0</v>
      </c>
      <c r="K43" s="4">
        <v>110000</v>
      </c>
      <c r="L43" s="4">
        <v>109281</v>
      </c>
      <c r="M43" s="4">
        <v>69281</v>
      </c>
    </row>
    <row r="44" spans="1:13">
      <c r="A44" s="3" t="s">
        <v>178</v>
      </c>
      <c r="B44" s="4">
        <v>859000</v>
      </c>
      <c r="C44" s="4">
        <v>852000</v>
      </c>
      <c r="D44" s="4">
        <v>-186000</v>
      </c>
      <c r="E44" s="4">
        <v>-22000</v>
      </c>
      <c r="F44" s="4">
        <v>-264000</v>
      </c>
      <c r="H44" s="3" t="s">
        <v>208</v>
      </c>
      <c r="I44" s="3">
        <v>0</v>
      </c>
      <c r="J44" s="3">
        <v>0</v>
      </c>
      <c r="K44" s="4">
        <v>460000</v>
      </c>
      <c r="L44" s="4">
        <v>500000</v>
      </c>
      <c r="M44" s="3">
        <v>0</v>
      </c>
    </row>
    <row r="45" spans="1:13">
      <c r="A45" s="3" t="s">
        <v>179</v>
      </c>
      <c r="B45" s="4">
        <v>5099000</v>
      </c>
      <c r="C45" s="4">
        <v>3359000</v>
      </c>
      <c r="D45" s="4">
        <v>3972000</v>
      </c>
      <c r="E45" s="4">
        <v>2824000</v>
      </c>
      <c r="F45" s="3">
        <v>0</v>
      </c>
      <c r="H45" s="3" t="s">
        <v>209</v>
      </c>
      <c r="I45" s="3">
        <v>0</v>
      </c>
      <c r="J45" s="3">
        <v>0</v>
      </c>
      <c r="K45" s="4">
        <v>-350000</v>
      </c>
      <c r="L45" s="4">
        <v>-390719</v>
      </c>
      <c r="M45" s="4">
        <v>-390719</v>
      </c>
    </row>
    <row r="46" spans="1:13">
      <c r="A46" s="3" t="s">
        <v>180</v>
      </c>
      <c r="B46" s="4">
        <v>-2500000</v>
      </c>
      <c r="C46" s="4">
        <v>-2507000</v>
      </c>
      <c r="D46" s="4">
        <v>-4158000</v>
      </c>
      <c r="E46" s="4">
        <v>-2846000</v>
      </c>
      <c r="F46" s="4">
        <v>-264000</v>
      </c>
      <c r="H46" s="3" t="s">
        <v>181</v>
      </c>
      <c r="I46" s="3">
        <v>0</v>
      </c>
      <c r="J46" s="3">
        <v>0</v>
      </c>
      <c r="K46" s="4">
        <v>-50000</v>
      </c>
      <c r="L46" s="4">
        <v>-499992</v>
      </c>
      <c r="M46" s="4">
        <v>-799992</v>
      </c>
    </row>
    <row r="47" spans="1:13">
      <c r="A47" s="3" t="s">
        <v>181</v>
      </c>
      <c r="B47" s="4">
        <v>-7749000</v>
      </c>
      <c r="C47" s="4">
        <v>-6523000</v>
      </c>
      <c r="D47" s="4">
        <v>-1252000</v>
      </c>
      <c r="E47" s="3">
        <v>0</v>
      </c>
      <c r="F47" s="4">
        <v>255000</v>
      </c>
      <c r="H47" s="3" t="s">
        <v>183</v>
      </c>
      <c r="I47" s="3">
        <v>0</v>
      </c>
      <c r="J47" s="3">
        <v>0</v>
      </c>
      <c r="K47" s="4">
        <v>-50000</v>
      </c>
      <c r="L47" s="4">
        <v>-499992</v>
      </c>
      <c r="M47" s="4">
        <v>-799992</v>
      </c>
    </row>
    <row r="48" spans="1:13">
      <c r="A48" s="3" t="s">
        <v>182</v>
      </c>
      <c r="B48" s="3">
        <v>0</v>
      </c>
      <c r="C48" s="3">
        <v>0</v>
      </c>
      <c r="D48" s="3">
        <v>0</v>
      </c>
      <c r="E48" s="3">
        <v>0</v>
      </c>
      <c r="F48" s="4">
        <v>255000</v>
      </c>
      <c r="H48" s="3" t="s">
        <v>184</v>
      </c>
      <c r="I48" s="4">
        <v>21655</v>
      </c>
      <c r="J48" s="4">
        <v>10993</v>
      </c>
      <c r="K48" s="4">
        <v>15051</v>
      </c>
      <c r="L48" s="4">
        <v>14861</v>
      </c>
      <c r="M48" s="4">
        <v>15952</v>
      </c>
    </row>
    <row r="49" spans="1:13">
      <c r="A49" s="3" t="s">
        <v>183</v>
      </c>
      <c r="B49" s="4">
        <v>-7749000</v>
      </c>
      <c r="C49" s="4">
        <v>-6523000</v>
      </c>
      <c r="D49" s="4">
        <v>-1252000</v>
      </c>
      <c r="E49" s="3">
        <v>0</v>
      </c>
      <c r="F49" s="3">
        <v>0</v>
      </c>
      <c r="H49" s="3" t="s">
        <v>185</v>
      </c>
      <c r="I49" s="4">
        <v>-6733</v>
      </c>
      <c r="J49" s="4">
        <v>-17121</v>
      </c>
      <c r="K49" s="4">
        <v>-100102</v>
      </c>
      <c r="L49" s="4">
        <v>-205980</v>
      </c>
      <c r="M49" s="4">
        <v>-216810</v>
      </c>
    </row>
    <row r="50" spans="1:13">
      <c r="A50" s="3" t="s">
        <v>184</v>
      </c>
      <c r="B50" s="4">
        <v>173000</v>
      </c>
      <c r="C50" s="4">
        <v>183000</v>
      </c>
      <c r="D50" s="4">
        <v>156000</v>
      </c>
      <c r="E50" s="4">
        <v>130000</v>
      </c>
      <c r="F50" s="4">
        <v>92000</v>
      </c>
      <c r="H50" s="3" t="s">
        <v>186</v>
      </c>
      <c r="I50" s="4">
        <v>391822</v>
      </c>
      <c r="J50" s="4">
        <v>771786</v>
      </c>
      <c r="K50" s="4">
        <v>946040</v>
      </c>
      <c r="L50" s="4">
        <v>1837370</v>
      </c>
      <c r="M50" s="4">
        <v>1827228</v>
      </c>
    </row>
    <row r="51" spans="1:13">
      <c r="A51" s="3" t="s">
        <v>185</v>
      </c>
      <c r="B51" s="4">
        <v>-235000</v>
      </c>
      <c r="C51" s="4">
        <v>-225000</v>
      </c>
      <c r="D51" s="4">
        <v>-805000</v>
      </c>
      <c r="E51" s="4">
        <v>-203000</v>
      </c>
      <c r="F51" s="4">
        <v>-68000</v>
      </c>
      <c r="H51" s="3" t="s">
        <v>187</v>
      </c>
      <c r="I51" s="4">
        <v>-138740</v>
      </c>
      <c r="J51" s="4">
        <v>379431</v>
      </c>
      <c r="K51" s="4">
        <v>175890</v>
      </c>
      <c r="L51" s="4">
        <v>889648</v>
      </c>
      <c r="M51" s="4">
        <v>580334</v>
      </c>
    </row>
    <row r="52" spans="1:13">
      <c r="A52" s="3" t="s">
        <v>186</v>
      </c>
      <c r="B52" s="4">
        <v>7989000</v>
      </c>
      <c r="C52" s="4">
        <v>9647000</v>
      </c>
      <c r="D52" s="4">
        <v>8610000</v>
      </c>
      <c r="E52" s="4">
        <v>7004000</v>
      </c>
      <c r="F52" s="4">
        <v>6677000</v>
      </c>
      <c r="H52" s="3" t="s">
        <v>188</v>
      </c>
      <c r="I52" s="3">
        <v>-631</v>
      </c>
      <c r="J52" s="3">
        <v>533</v>
      </c>
      <c r="K52" s="4">
        <v>-1636</v>
      </c>
      <c r="L52" s="4">
        <v>1682</v>
      </c>
      <c r="M52" s="3">
        <v>148</v>
      </c>
    </row>
    <row r="53" spans="1:13">
      <c r="A53" s="3" t="s">
        <v>187</v>
      </c>
      <c r="B53" s="4">
        <v>-611000</v>
      </c>
      <c r="C53" s="4">
        <v>822000</v>
      </c>
      <c r="D53" s="4">
        <v>1873000</v>
      </c>
      <c r="E53" s="4">
        <v>264000</v>
      </c>
      <c r="F53" s="4">
        <v>-980000</v>
      </c>
      <c r="H53" s="3" t="s">
        <v>189</v>
      </c>
      <c r="I53" s="4">
        <v>531193</v>
      </c>
      <c r="J53" s="4">
        <v>391822</v>
      </c>
      <c r="K53" s="4">
        <v>771786</v>
      </c>
      <c r="L53" s="4">
        <v>946040</v>
      </c>
      <c r="M53" s="4">
        <v>1246894</v>
      </c>
    </row>
    <row r="54" spans="1:13">
      <c r="A54" s="3" t="s">
        <v>188</v>
      </c>
      <c r="B54" s="4">
        <v>121000</v>
      </c>
      <c r="C54" s="4">
        <v>215000</v>
      </c>
      <c r="D54" s="4">
        <v>-267000</v>
      </c>
      <c r="E54" s="4">
        <v>63000</v>
      </c>
      <c r="F54" s="4">
        <v>-148000</v>
      </c>
      <c r="H54" s="3" t="s">
        <v>191</v>
      </c>
      <c r="I54" s="4">
        <v>10723</v>
      </c>
      <c r="J54" s="4">
        <v>9425</v>
      </c>
      <c r="K54" s="4">
        <v>11207</v>
      </c>
      <c r="L54" s="4">
        <v>7261</v>
      </c>
      <c r="M54" s="3">
        <v>0</v>
      </c>
    </row>
    <row r="55" spans="1:13">
      <c r="A55" s="3" t="s">
        <v>189</v>
      </c>
      <c r="B55" s="4">
        <v>8600000</v>
      </c>
      <c r="C55" s="4">
        <v>8610000</v>
      </c>
      <c r="D55" s="4">
        <v>7004000</v>
      </c>
      <c r="E55" s="4">
        <v>6677000</v>
      </c>
      <c r="F55" s="4">
        <v>7805000</v>
      </c>
      <c r="H55" s="3" t="s">
        <v>192</v>
      </c>
      <c r="I55" s="4">
        <v>16752</v>
      </c>
      <c r="J55" s="4">
        <v>20176</v>
      </c>
      <c r="K55" s="4">
        <v>28304</v>
      </c>
      <c r="L55" s="4">
        <v>19821</v>
      </c>
      <c r="M55" s="3">
        <v>0</v>
      </c>
    </row>
    <row r="56" spans="1:13">
      <c r="A56" s="3" t="s">
        <v>190</v>
      </c>
      <c r="B56" s="3">
        <v>0</v>
      </c>
      <c r="C56" s="3">
        <v>0</v>
      </c>
      <c r="D56" s="3">
        <v>0</v>
      </c>
      <c r="E56" s="3">
        <v>0</v>
      </c>
      <c r="F56" s="3">
        <v>0</v>
      </c>
      <c r="H56" s="3" t="s">
        <v>193</v>
      </c>
      <c r="I56" s="4">
        <v>-114970</v>
      </c>
      <c r="J56" s="4">
        <v>-149819</v>
      </c>
      <c r="K56" s="4">
        <v>-83470</v>
      </c>
      <c r="L56" s="4">
        <v>-52822</v>
      </c>
      <c r="M56" s="4">
        <v>-66745</v>
      </c>
    </row>
    <row r="57" spans="1:13">
      <c r="A57" s="3" t="s">
        <v>191</v>
      </c>
      <c r="B57" s="4">
        <v>334000</v>
      </c>
      <c r="C57" s="4">
        <v>345000</v>
      </c>
      <c r="D57" s="4">
        <v>324000</v>
      </c>
      <c r="E57" s="4">
        <v>234000</v>
      </c>
      <c r="F57" s="4">
        <v>175000</v>
      </c>
      <c r="H57" s="3" t="s">
        <v>195</v>
      </c>
      <c r="I57" s="3">
        <v>0</v>
      </c>
      <c r="J57" s="3">
        <v>0</v>
      </c>
      <c r="K57" s="4">
        <v>460000</v>
      </c>
      <c r="L57" s="4">
        <v>500000</v>
      </c>
      <c r="M57" s="3">
        <v>0</v>
      </c>
    </row>
    <row r="58" spans="1:13">
      <c r="A58" s="3" t="s">
        <v>192</v>
      </c>
      <c r="B58" s="4">
        <v>402000</v>
      </c>
      <c r="C58" s="4">
        <v>386000</v>
      </c>
      <c r="D58" s="4">
        <v>475000</v>
      </c>
      <c r="E58" s="4">
        <v>629000</v>
      </c>
      <c r="F58" s="4">
        <v>513000</v>
      </c>
      <c r="H58" s="3" t="s">
        <v>196</v>
      </c>
      <c r="I58" s="4">
        <v>-102422</v>
      </c>
      <c r="J58" s="4">
        <v>-115950</v>
      </c>
      <c r="K58" s="4">
        <v>-480818</v>
      </c>
      <c r="L58" s="4">
        <v>-494417</v>
      </c>
      <c r="M58" s="4">
        <v>-498490</v>
      </c>
    </row>
    <row r="59" spans="1:13">
      <c r="A59" s="3" t="s">
        <v>193</v>
      </c>
      <c r="B59" s="4">
        <v>-327000</v>
      </c>
      <c r="C59" s="4">
        <v>-336000</v>
      </c>
      <c r="D59" s="4">
        <v>-242000</v>
      </c>
      <c r="E59" s="4">
        <v>-223000</v>
      </c>
      <c r="F59" s="4">
        <v>-252000</v>
      </c>
      <c r="H59" s="3" t="s">
        <v>197</v>
      </c>
      <c r="I59" s="3">
        <v>0</v>
      </c>
      <c r="J59" s="3">
        <v>0</v>
      </c>
      <c r="K59" s="4">
        <v>-50000</v>
      </c>
      <c r="L59" s="4">
        <v>-499992</v>
      </c>
      <c r="M59" s="4">
        <v>-799992</v>
      </c>
    </row>
    <row r="60" spans="1:13">
      <c r="A60" s="3" t="s">
        <v>194</v>
      </c>
      <c r="B60" s="3">
        <v>0</v>
      </c>
      <c r="C60" s="3">
        <v>0</v>
      </c>
      <c r="D60" s="3">
        <v>0</v>
      </c>
      <c r="E60" s="3">
        <v>0</v>
      </c>
      <c r="F60" s="4">
        <v>255000</v>
      </c>
      <c r="H60" s="3" t="s">
        <v>198</v>
      </c>
      <c r="I60" s="4">
        <v>-352255</v>
      </c>
      <c r="J60" s="4">
        <v>-248063</v>
      </c>
      <c r="K60" s="4">
        <v>766267</v>
      </c>
      <c r="L60" s="4">
        <v>1115616</v>
      </c>
      <c r="M60" s="4">
        <v>1122138</v>
      </c>
    </row>
    <row r="61" spans="1:13">
      <c r="A61" s="3" t="s">
        <v>195</v>
      </c>
      <c r="B61" s="4">
        <v>5099000</v>
      </c>
      <c r="C61" s="4">
        <v>3359000</v>
      </c>
      <c r="D61" s="4">
        <v>3972000</v>
      </c>
      <c r="E61" s="4">
        <v>2824000</v>
      </c>
      <c r="F61" s="3">
        <v>0</v>
      </c>
    </row>
    <row r="62" spans="1:13">
      <c r="A62" s="3" t="s">
        <v>196</v>
      </c>
      <c r="B62" s="4">
        <v>-2500000</v>
      </c>
      <c r="C62" s="4">
        <v>-2507000</v>
      </c>
      <c r="D62" s="4">
        <v>-4158000</v>
      </c>
      <c r="E62" s="4">
        <v>-2846000</v>
      </c>
      <c r="F62" s="4">
        <v>-264000</v>
      </c>
    </row>
    <row r="63" spans="1:13">
      <c r="A63" s="3" t="s">
        <v>197</v>
      </c>
      <c r="B63" s="4">
        <v>-7749000</v>
      </c>
      <c r="C63" s="4">
        <v>-6523000</v>
      </c>
      <c r="D63" s="4">
        <v>-1252000</v>
      </c>
      <c r="E63" s="3">
        <v>0</v>
      </c>
      <c r="F63" s="3">
        <v>0</v>
      </c>
    </row>
    <row r="64" spans="1:13">
      <c r="A64" s="3" t="s">
        <v>198</v>
      </c>
      <c r="B64" s="4">
        <v>9799000</v>
      </c>
      <c r="C64" s="4">
        <v>9763000</v>
      </c>
      <c r="D64" s="4">
        <v>6895000</v>
      </c>
      <c r="E64" s="4">
        <v>3362000</v>
      </c>
      <c r="F64" s="4">
        <v>390000</v>
      </c>
    </row>
  </sheetData>
  <autoFilter ref="A2:F64" xr:uid="{A8F21A9E-DC17-4DEF-96BA-1AB9D0704A9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CC27C-9872-4A5D-8958-547541190A15}">
  <dimension ref="A1:U17"/>
  <sheetViews>
    <sheetView showGridLines="0" workbookViewId="0">
      <selection sqref="A1:U1"/>
    </sheetView>
  </sheetViews>
  <sheetFormatPr defaultColWidth="0" defaultRowHeight="14.25" zeroHeight="1"/>
  <cols>
    <col min="1" max="1" width="14.140625" style="26" customWidth="1"/>
    <col min="2" max="17" width="8.85546875" style="26" customWidth="1"/>
    <col min="18" max="21" width="0" style="26" hidden="1" customWidth="1"/>
    <col min="22" max="16384" width="8.85546875" style="26" hidden="1"/>
  </cols>
  <sheetData>
    <row r="1" spans="1:21" ht="30">
      <c r="A1" s="29" t="s">
        <v>328</v>
      </c>
      <c r="B1" s="29"/>
      <c r="C1" s="29"/>
      <c r="D1" s="29"/>
      <c r="E1" s="29"/>
      <c r="F1" s="29"/>
      <c r="G1" s="29"/>
      <c r="H1" s="29"/>
      <c r="I1" s="29"/>
      <c r="J1" s="29"/>
      <c r="K1" s="29"/>
      <c r="L1" s="29"/>
      <c r="M1" s="29"/>
      <c r="N1" s="29"/>
      <c r="O1" s="29"/>
      <c r="P1" s="29"/>
      <c r="Q1" s="29"/>
      <c r="R1" s="29"/>
      <c r="S1" s="29"/>
      <c r="T1" s="29"/>
      <c r="U1" s="29"/>
    </row>
    <row r="2" spans="1:21" s="27" customFormat="1"/>
    <row r="3" spans="1:21"/>
    <row r="4" spans="1:21"/>
    <row r="5" spans="1:21"/>
    <row r="6" spans="1:21" ht="15">
      <c r="A6" s="28" t="s">
        <v>279</v>
      </c>
      <c r="C6" s="26" t="s">
        <v>329</v>
      </c>
    </row>
    <row r="7" spans="1:21" ht="15">
      <c r="A7" s="28"/>
    </row>
    <row r="8" spans="1:21" ht="15">
      <c r="A8" s="28"/>
    </row>
    <row r="9" spans="1:21" ht="15">
      <c r="A9" s="28" t="s">
        <v>332</v>
      </c>
      <c r="C9" s="26" t="s">
        <v>333</v>
      </c>
    </row>
    <row r="10" spans="1:21"/>
    <row r="11" spans="1:21"/>
    <row r="12" spans="1:21" ht="15">
      <c r="A12" s="28" t="s">
        <v>331</v>
      </c>
      <c r="C12" s="26" t="s">
        <v>330</v>
      </c>
    </row>
    <row r="13" spans="1:21"/>
    <row r="17" spans="10:10" ht="15" hidden="1">
      <c r="J17"/>
    </row>
  </sheetData>
  <mergeCells count="1">
    <mergeCell ref="A1:U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E756B-F9A7-46CD-BE43-4705FCC836F6}">
  <dimension ref="A2:C11"/>
  <sheetViews>
    <sheetView workbookViewId="0">
      <selection activeCell="F6" sqref="F6"/>
    </sheetView>
  </sheetViews>
  <sheetFormatPr defaultRowHeight="15"/>
  <sheetData>
    <row r="2" spans="1:3">
      <c r="A2" t="s">
        <v>343</v>
      </c>
    </row>
    <row r="4" spans="1:3">
      <c r="A4" t="s">
        <v>344</v>
      </c>
      <c r="C4" t="s">
        <v>346</v>
      </c>
    </row>
    <row r="7" spans="1:3">
      <c r="A7" t="s">
        <v>345</v>
      </c>
      <c r="C7" t="s">
        <v>328</v>
      </c>
    </row>
    <row r="9" spans="1:3">
      <c r="A9" t="s">
        <v>347</v>
      </c>
    </row>
    <row r="11" spans="1:3">
      <c r="A11" t="s">
        <v>348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55934-F322-45F0-BD37-CF83552670AB}">
  <dimension ref="A1:V65"/>
  <sheetViews>
    <sheetView zoomScaleNormal="100" workbookViewId="0">
      <selection activeCell="A3" sqref="A3:C3"/>
    </sheetView>
  </sheetViews>
  <sheetFormatPr defaultRowHeight="15"/>
  <cols>
    <col min="3" max="3" width="18.28515625" customWidth="1"/>
    <col min="7" max="15" width="9.85546875" customWidth="1"/>
    <col min="16" max="16" width="6.85546875" bestFit="1" customWidth="1"/>
    <col min="17" max="17" width="11.28515625" bestFit="1" customWidth="1"/>
    <col min="18" max="18" width="12.7109375" bestFit="1" customWidth="1"/>
    <col min="19" max="21" width="11.28515625" bestFit="1" customWidth="1"/>
    <col min="22" max="22" width="9.85546875" customWidth="1"/>
  </cols>
  <sheetData>
    <row r="1" spans="1:21" ht="15.75" thickTop="1">
      <c r="A1" s="251" t="s">
        <v>375</v>
      </c>
      <c r="B1" s="252"/>
      <c r="C1" s="253"/>
      <c r="D1" s="128" t="s">
        <v>374</v>
      </c>
      <c r="E1" s="128"/>
      <c r="F1" s="129"/>
      <c r="G1" s="127" t="s">
        <v>383</v>
      </c>
      <c r="H1" s="128"/>
      <c r="I1" s="129"/>
      <c r="J1" s="127" t="s">
        <v>385</v>
      </c>
      <c r="K1" s="128"/>
      <c r="L1" s="129"/>
      <c r="M1" s="127" t="s">
        <v>387</v>
      </c>
      <c r="N1" s="128"/>
      <c r="O1" s="129"/>
      <c r="P1" s="127" t="s">
        <v>389</v>
      </c>
      <c r="Q1" s="128"/>
      <c r="R1" s="129"/>
      <c r="S1" s="127" t="s">
        <v>390</v>
      </c>
      <c r="T1" s="128"/>
      <c r="U1" s="129"/>
    </row>
    <row r="2" spans="1:21" ht="15" customHeight="1">
      <c r="A2" s="194"/>
      <c r="B2" s="48"/>
      <c r="C2" s="195"/>
      <c r="D2" s="143">
        <f>'DCF &amp; SENSITIVITY ANALYSIS'!D7</f>
        <v>18219243.697889067</v>
      </c>
      <c r="E2" s="143"/>
      <c r="F2" s="144"/>
      <c r="G2" s="145">
        <f>'DCF &amp; SENSITIVITY ANALYSIS'!D31</f>
        <v>48.274823622171219</v>
      </c>
      <c r="H2" s="146"/>
      <c r="I2" s="147"/>
      <c r="J2" s="142">
        <f>SYNERGIES!X8</f>
        <v>2146700.1371460315</v>
      </c>
      <c r="K2" s="143"/>
      <c r="L2" s="144"/>
      <c r="M2" s="148">
        <f>('FORECAST MODEL &amp; FCF BUILD UP'!N6/'FORECAST MODEL &amp; FCF BUILD UP'!D6)^(1/5)-1</f>
        <v>7.9976851256448045E-2</v>
      </c>
      <c r="N2" s="149"/>
      <c r="O2" s="150"/>
      <c r="P2" s="151">
        <f>'FORECAST MODEL &amp; FCF BUILD UP'!N14</f>
        <v>8.5000000000000034E-2</v>
      </c>
      <c r="Q2" s="152"/>
      <c r="R2" s="153"/>
      <c r="S2" s="136" t="s">
        <v>392</v>
      </c>
      <c r="T2" s="134"/>
      <c r="U2" s="135"/>
    </row>
    <row r="3" spans="1:21" ht="15" customHeight="1">
      <c r="A3" s="254" t="s">
        <v>376</v>
      </c>
      <c r="B3" s="255"/>
      <c r="C3" s="256"/>
      <c r="D3" s="143"/>
      <c r="E3" s="143"/>
      <c r="F3" s="144"/>
      <c r="G3" s="145"/>
      <c r="H3" s="146"/>
      <c r="I3" s="147"/>
      <c r="J3" s="142"/>
      <c r="K3" s="143"/>
      <c r="L3" s="144"/>
      <c r="M3" s="148"/>
      <c r="N3" s="149"/>
      <c r="O3" s="150"/>
      <c r="P3" s="151"/>
      <c r="Q3" s="152"/>
      <c r="R3" s="153"/>
      <c r="S3" s="133"/>
      <c r="T3" s="134"/>
      <c r="U3" s="135"/>
    </row>
    <row r="4" spans="1:21" ht="15" customHeight="1">
      <c r="A4" s="194"/>
      <c r="B4" s="48"/>
      <c r="C4" s="195"/>
      <c r="D4" s="143"/>
      <c r="E4" s="143"/>
      <c r="F4" s="144"/>
      <c r="G4" s="145"/>
      <c r="H4" s="146"/>
      <c r="I4" s="147"/>
      <c r="J4" s="142"/>
      <c r="K4" s="143"/>
      <c r="L4" s="144"/>
      <c r="M4" s="148"/>
      <c r="N4" s="149"/>
      <c r="O4" s="150"/>
      <c r="P4" s="151"/>
      <c r="Q4" s="152"/>
      <c r="R4" s="153"/>
      <c r="S4" s="133"/>
      <c r="T4" s="134"/>
      <c r="U4" s="135"/>
    </row>
    <row r="5" spans="1:21" ht="15" customHeight="1">
      <c r="A5" s="254" t="s">
        <v>377</v>
      </c>
      <c r="B5" s="255"/>
      <c r="C5" s="256"/>
      <c r="D5" s="143"/>
      <c r="E5" s="143"/>
      <c r="F5" s="144"/>
      <c r="G5" s="145"/>
      <c r="H5" s="146"/>
      <c r="I5" s="147"/>
      <c r="J5" s="142"/>
      <c r="K5" s="143"/>
      <c r="L5" s="144"/>
      <c r="M5" s="148"/>
      <c r="N5" s="149"/>
      <c r="O5" s="150"/>
      <c r="P5" s="151"/>
      <c r="Q5" s="152"/>
      <c r="R5" s="153"/>
      <c r="S5" s="133"/>
      <c r="T5" s="134"/>
      <c r="U5" s="135"/>
    </row>
    <row r="6" spans="1:21" ht="15.75" customHeight="1" thickBot="1">
      <c r="A6" s="194"/>
      <c r="B6" s="48"/>
      <c r="C6" s="195"/>
      <c r="D6" s="131" t="s">
        <v>386</v>
      </c>
      <c r="E6" s="131"/>
      <c r="F6" s="132"/>
      <c r="G6" s="130" t="s">
        <v>384</v>
      </c>
      <c r="H6" s="131"/>
      <c r="I6" s="132"/>
      <c r="J6" s="130" t="s">
        <v>386</v>
      </c>
      <c r="K6" s="131"/>
      <c r="L6" s="132"/>
      <c r="M6" s="130" t="s">
        <v>388</v>
      </c>
      <c r="N6" s="131"/>
      <c r="O6" s="132"/>
      <c r="P6" s="130" t="s">
        <v>388</v>
      </c>
      <c r="Q6" s="131"/>
      <c r="R6" s="132"/>
      <c r="S6" s="130" t="s">
        <v>391</v>
      </c>
      <c r="T6" s="131"/>
      <c r="U6" s="132"/>
    </row>
    <row r="7" spans="1:21" ht="16.5" thickTop="1" thickBot="1">
      <c r="A7" s="254" t="s">
        <v>378</v>
      </c>
      <c r="B7" s="255"/>
      <c r="C7" s="256"/>
    </row>
    <row r="8" spans="1:21" ht="15.75" thickTop="1">
      <c r="A8" s="194"/>
      <c r="B8" s="48"/>
      <c r="C8" s="195"/>
      <c r="P8" s="137" t="s">
        <v>393</v>
      </c>
      <c r="Q8" s="138"/>
      <c r="R8" s="138"/>
      <c r="S8" s="138"/>
      <c r="T8" s="138"/>
      <c r="U8" s="139"/>
    </row>
    <row r="9" spans="1:21" ht="15.75" thickBot="1">
      <c r="A9" s="254" t="s">
        <v>379</v>
      </c>
      <c r="B9" s="255"/>
      <c r="C9" s="256"/>
      <c r="P9" s="167"/>
      <c r="Q9" s="168"/>
      <c r="R9" s="168"/>
      <c r="S9" s="168"/>
      <c r="T9" s="168"/>
      <c r="U9" s="169"/>
    </row>
    <row r="10" spans="1:21">
      <c r="A10" s="194"/>
      <c r="B10" s="48"/>
      <c r="C10" s="195"/>
      <c r="P10" s="159" t="s">
        <v>394</v>
      </c>
      <c r="Q10" s="154"/>
      <c r="R10" s="154"/>
      <c r="S10" s="154"/>
      <c r="T10" s="155">
        <f>'DCF &amp; SENSITIVITY ANALYSIS'!C26</f>
        <v>18219243.697889067</v>
      </c>
      <c r="U10" s="160"/>
    </row>
    <row r="11" spans="1:21" ht="15.75" thickBot="1">
      <c r="A11" s="254" t="s">
        <v>380</v>
      </c>
      <c r="B11" s="255"/>
      <c r="C11" s="256"/>
      <c r="P11" s="163"/>
      <c r="Q11" s="164"/>
      <c r="R11" s="164"/>
      <c r="S11" s="164"/>
      <c r="T11" s="165"/>
      <c r="U11" s="166"/>
    </row>
    <row r="12" spans="1:21">
      <c r="A12" s="194"/>
      <c r="B12" s="48"/>
      <c r="C12" s="195"/>
      <c r="P12" s="170" t="s">
        <v>395</v>
      </c>
      <c r="Q12" s="171"/>
      <c r="R12" s="171"/>
      <c r="S12" s="171"/>
      <c r="T12" s="172">
        <f>'DCF &amp; SENSITIVITY ANALYSIS'!C28</f>
        <v>0</v>
      </c>
      <c r="U12" s="173"/>
    </row>
    <row r="13" spans="1:21" ht="15.75" thickBot="1">
      <c r="A13" s="254" t="s">
        <v>381</v>
      </c>
      <c r="B13" s="255"/>
      <c r="C13" s="256"/>
      <c r="P13" s="163"/>
      <c r="Q13" s="164"/>
      <c r="R13" s="164"/>
      <c r="S13" s="164"/>
      <c r="T13" s="165"/>
      <c r="U13" s="166"/>
    </row>
    <row r="14" spans="1:21">
      <c r="A14" s="194"/>
      <c r="B14" s="48"/>
      <c r="C14" s="195"/>
      <c r="P14" s="170" t="s">
        <v>396</v>
      </c>
      <c r="Q14" s="171"/>
      <c r="R14" s="171"/>
      <c r="S14" s="171"/>
      <c r="T14" s="172">
        <f>'DCF &amp; SENSITIVITY ANALYSIS'!C27</f>
        <v>1132009</v>
      </c>
      <c r="U14" s="173"/>
    </row>
    <row r="15" spans="1:21" ht="15.75" thickBot="1">
      <c r="A15" s="257" t="s">
        <v>382</v>
      </c>
      <c r="B15" s="258"/>
      <c r="C15" s="259"/>
      <c r="P15" s="163"/>
      <c r="Q15" s="164"/>
      <c r="R15" s="164"/>
      <c r="S15" s="164"/>
      <c r="T15" s="165"/>
      <c r="U15" s="166"/>
    </row>
    <row r="16" spans="1:21" ht="16.5" thickTop="1" thickBot="1">
      <c r="P16" s="159" t="s">
        <v>397</v>
      </c>
      <c r="Q16" s="154"/>
      <c r="R16" s="154"/>
      <c r="S16" s="154"/>
      <c r="T16" s="155">
        <f>'DCF &amp; SENSITIVITY ANALYSIS'!D23</f>
        <v>400856000</v>
      </c>
      <c r="U16" s="160"/>
    </row>
    <row r="17" spans="1:22" ht="16.5" thickTop="1" thickBot="1">
      <c r="A17" s="190" t="s">
        <v>411</v>
      </c>
      <c r="B17" s="191"/>
      <c r="C17" s="192"/>
      <c r="P17" s="163"/>
      <c r="Q17" s="164"/>
      <c r="R17" s="164"/>
      <c r="S17" s="164"/>
      <c r="T17" s="165"/>
      <c r="U17" s="166"/>
    </row>
    <row r="18" spans="1:22">
      <c r="A18" s="242"/>
      <c r="B18" s="227"/>
      <c r="C18" s="243"/>
      <c r="P18" s="176" t="s">
        <v>399</v>
      </c>
      <c r="Q18" s="177"/>
      <c r="R18" s="177"/>
      <c r="S18" s="177"/>
      <c r="T18" s="178">
        <f>'DCF &amp; SENSITIVITY ANALYSIS'!D31</f>
        <v>48.274823622171219</v>
      </c>
      <c r="U18" s="179"/>
    </row>
    <row r="19" spans="1:22" ht="15.75" thickBot="1">
      <c r="A19" s="194"/>
      <c r="B19" s="48"/>
      <c r="C19" s="195"/>
      <c r="P19" s="180"/>
      <c r="Q19" s="181"/>
      <c r="R19" s="181"/>
      <c r="S19" s="181"/>
      <c r="T19" s="182"/>
      <c r="U19" s="183"/>
    </row>
    <row r="20" spans="1:22">
      <c r="A20" s="244" t="s">
        <v>401</v>
      </c>
      <c r="B20" s="228"/>
      <c r="C20" s="245"/>
      <c r="P20" s="159" t="s">
        <v>398</v>
      </c>
      <c r="Q20" s="154"/>
      <c r="R20" s="154"/>
      <c r="S20" s="154"/>
      <c r="T20" s="158">
        <f>'DCF &amp; SENSITIVITY ANALYSIS'!D40</f>
        <v>16.534593469974254</v>
      </c>
      <c r="U20" s="161"/>
    </row>
    <row r="21" spans="1:22" ht="15.75" thickBot="1">
      <c r="A21" s="246" t="s">
        <v>402</v>
      </c>
      <c r="B21" s="215"/>
      <c r="C21" s="247"/>
      <c r="P21" s="163"/>
      <c r="Q21" s="164"/>
      <c r="R21" s="164"/>
      <c r="S21" s="164"/>
      <c r="T21" s="174"/>
      <c r="U21" s="175"/>
    </row>
    <row r="22" spans="1:22">
      <c r="A22" s="194"/>
      <c r="B22" s="48"/>
      <c r="C22" s="195"/>
      <c r="P22" s="159" t="s">
        <v>400</v>
      </c>
      <c r="Q22" s="154"/>
      <c r="R22" s="154"/>
      <c r="S22" s="154"/>
      <c r="T22" s="184">
        <f>(T18-T20)</f>
        <v>31.740230152196965</v>
      </c>
      <c r="U22" s="185"/>
    </row>
    <row r="23" spans="1:22" ht="15.75" thickBot="1">
      <c r="A23" s="244" t="s">
        <v>403</v>
      </c>
      <c r="B23" s="228"/>
      <c r="C23" s="245"/>
      <c r="P23" s="162"/>
      <c r="Q23" s="156"/>
      <c r="R23" s="156"/>
      <c r="S23" s="156"/>
      <c r="T23" s="186"/>
      <c r="U23" s="187"/>
    </row>
    <row r="24" spans="1:22" ht="16.5" thickTop="1" thickBot="1">
      <c r="A24" s="246" t="s">
        <v>404</v>
      </c>
      <c r="B24" s="215"/>
      <c r="C24" s="247"/>
    </row>
    <row r="25" spans="1:22" ht="15.75" thickTop="1">
      <c r="A25" s="194"/>
      <c r="B25" s="48"/>
      <c r="C25" s="195"/>
      <c r="P25" s="137" t="s">
        <v>259</v>
      </c>
      <c r="Q25" s="199" t="s">
        <v>260</v>
      </c>
      <c r="R25" s="200"/>
      <c r="S25" s="200"/>
      <c r="T25" s="200"/>
      <c r="U25" s="201"/>
      <c r="V25" s="188"/>
    </row>
    <row r="26" spans="1:22">
      <c r="A26" s="244" t="s">
        <v>405</v>
      </c>
      <c r="B26" s="228"/>
      <c r="C26" s="245"/>
      <c r="P26" s="140"/>
      <c r="Q26" s="233">
        <v>1.4999999999999999E-2</v>
      </c>
      <c r="R26" s="234">
        <v>0.02</v>
      </c>
      <c r="S26" s="233">
        <v>2.5000000000000001E-2</v>
      </c>
      <c r="T26" s="234">
        <v>2.5000000000000001E-2</v>
      </c>
      <c r="U26" s="235">
        <v>3.5000000000000003E-2</v>
      </c>
    </row>
    <row r="27" spans="1:22">
      <c r="A27" s="246" t="s">
        <v>406</v>
      </c>
      <c r="B27" s="215"/>
      <c r="C27" s="247"/>
      <c r="P27" s="231">
        <v>7.4999999999999997E-2</v>
      </c>
      <c r="Q27" s="155">
        <v>22941049.387888819</v>
      </c>
      <c r="R27" s="155">
        <v>23932096.04637605</v>
      </c>
      <c r="S27" s="155">
        <v>25121352.036560714</v>
      </c>
      <c r="T27" s="155">
        <v>25121352.036560714</v>
      </c>
      <c r="U27" s="160">
        <v>28391806.009568561</v>
      </c>
    </row>
    <row r="28" spans="1:22">
      <c r="A28" s="194"/>
      <c r="B28" s="48"/>
      <c r="C28" s="195"/>
      <c r="P28" s="232"/>
      <c r="Q28" s="155"/>
      <c r="R28" s="155"/>
      <c r="S28" s="155"/>
      <c r="T28" s="155"/>
      <c r="U28" s="160"/>
    </row>
    <row r="29" spans="1:22">
      <c r="A29" s="244" t="s">
        <v>407</v>
      </c>
      <c r="B29" s="228"/>
      <c r="C29" s="245"/>
      <c r="P29" s="231">
        <v>0.08</v>
      </c>
      <c r="Q29" s="155">
        <v>21725716.41715027</v>
      </c>
      <c r="R29" s="155">
        <v>22548872.647156399</v>
      </c>
      <c r="S29" s="155">
        <v>23521693.646254554</v>
      </c>
      <c r="T29" s="155">
        <v>23521693.646254554</v>
      </c>
      <c r="U29" s="160">
        <v>26115882.977182966</v>
      </c>
    </row>
    <row r="30" spans="1:22">
      <c r="A30" s="246" t="s">
        <v>408</v>
      </c>
      <c r="B30" s="215"/>
      <c r="C30" s="247"/>
      <c r="P30" s="232"/>
      <c r="Q30" s="155"/>
      <c r="R30" s="155"/>
      <c r="S30" s="155"/>
      <c r="T30" s="155"/>
      <c r="U30" s="160"/>
    </row>
    <row r="31" spans="1:22">
      <c r="A31" s="194"/>
      <c r="B31" s="48"/>
      <c r="C31" s="195"/>
      <c r="P31" s="231">
        <v>8.5000000000000006E-2</v>
      </c>
      <c r="Q31" s="155">
        <v>20665278.803953715</v>
      </c>
      <c r="R31" s="155">
        <v>21357925.152453449</v>
      </c>
      <c r="S31" s="155">
        <v>22166012.55903646</v>
      </c>
      <c r="T31" s="155">
        <v>22166012.55903646</v>
      </c>
      <c r="U31" s="160">
        <v>24267039.816152297</v>
      </c>
    </row>
    <row r="32" spans="1:22">
      <c r="A32" s="244" t="s">
        <v>409</v>
      </c>
      <c r="B32" s="228"/>
      <c r="C32" s="245"/>
      <c r="P32" s="232"/>
      <c r="Q32" s="155"/>
      <c r="R32" s="155"/>
      <c r="S32" s="155"/>
      <c r="T32" s="155"/>
      <c r="U32" s="160"/>
    </row>
    <row r="33" spans="1:21">
      <c r="A33" s="196" t="s">
        <v>410</v>
      </c>
      <c r="B33" s="197"/>
      <c r="C33" s="198"/>
      <c r="P33" s="231">
        <v>0.09</v>
      </c>
      <c r="Q33" s="155">
        <v>19729460.833668716</v>
      </c>
      <c r="R33" s="238">
        <v>20318815.33278352</v>
      </c>
      <c r="S33" s="155">
        <v>20998839.754839063</v>
      </c>
      <c r="T33" s="155">
        <v>20998839.754839063</v>
      </c>
      <c r="U33" s="160">
        <v>22729811.010980446</v>
      </c>
    </row>
    <row r="34" spans="1:21">
      <c r="A34" s="194"/>
      <c r="B34" s="48"/>
      <c r="C34" s="195"/>
      <c r="P34" s="232"/>
      <c r="Q34" s="155"/>
      <c r="R34" s="238"/>
      <c r="S34" s="155"/>
      <c r="T34" s="155"/>
      <c r="U34" s="160"/>
    </row>
    <row r="35" spans="1:21">
      <c r="A35" s="244" t="s">
        <v>421</v>
      </c>
      <c r="B35" s="228"/>
      <c r="C35" s="245"/>
      <c r="P35" s="231">
        <v>9.5000000000000001E-2</v>
      </c>
      <c r="Q35" s="155">
        <v>18895528.133574259</v>
      </c>
      <c r="R35" s="155">
        <v>19401858.729682207</v>
      </c>
      <c r="S35" s="155">
        <v>19980522.268091276</v>
      </c>
      <c r="T35" s="155">
        <v>19980522.268091276</v>
      </c>
      <c r="U35" s="160">
        <v>21427181.114113968</v>
      </c>
    </row>
    <row r="36" spans="1:21" ht="15.75" thickBot="1">
      <c r="A36" s="248">
        <v>46023</v>
      </c>
      <c r="B36" s="249"/>
      <c r="C36" s="250"/>
      <c r="P36" s="236"/>
      <c r="Q36" s="157"/>
      <c r="R36" s="157"/>
      <c r="S36" s="157"/>
      <c r="T36" s="157"/>
      <c r="U36" s="237"/>
    </row>
    <row r="37" spans="1:21" ht="15.75" thickTop="1">
      <c r="A37" s="239"/>
      <c r="B37" s="239"/>
      <c r="C37" s="239"/>
      <c r="P37" s="240"/>
      <c r="Q37" s="241"/>
      <c r="R37" s="241"/>
      <c r="S37" s="241"/>
      <c r="T37" s="241"/>
      <c r="U37" s="241"/>
    </row>
    <row r="38" spans="1:21" ht="15.75" thickBot="1">
      <c r="B38" s="193" t="s">
        <v>413</v>
      </c>
      <c r="C38" s="193"/>
      <c r="D38" s="193"/>
      <c r="N38" s="90"/>
      <c r="O38" s="90"/>
      <c r="P38" s="91"/>
      <c r="Q38" s="90"/>
    </row>
    <row r="39" spans="1:21" ht="15.75" thickTop="1">
      <c r="B39" s="202"/>
      <c r="C39" s="203"/>
      <c r="D39" s="204" t="s">
        <v>281</v>
      </c>
      <c r="E39" s="204"/>
      <c r="F39" s="204" t="s">
        <v>282</v>
      </c>
      <c r="G39" s="204"/>
      <c r="H39" s="204" t="s">
        <v>283</v>
      </c>
      <c r="I39" s="204"/>
      <c r="J39" s="204" t="s">
        <v>251</v>
      </c>
      <c r="K39" s="204"/>
      <c r="L39" s="204" t="s">
        <v>252</v>
      </c>
      <c r="M39" s="204"/>
      <c r="N39" s="204" t="s">
        <v>253</v>
      </c>
      <c r="O39" s="204"/>
      <c r="P39" s="204" t="s">
        <v>254</v>
      </c>
      <c r="Q39" s="204"/>
      <c r="R39" s="204" t="s">
        <v>255</v>
      </c>
      <c r="S39" s="204"/>
      <c r="T39" s="203" t="s">
        <v>256</v>
      </c>
      <c r="U39" s="205"/>
    </row>
    <row r="40" spans="1:21">
      <c r="B40" s="206" t="s">
        <v>257</v>
      </c>
      <c r="C40" s="207"/>
      <c r="D40" s="81">
        <v>4095135</v>
      </c>
      <c r="E40" s="81"/>
      <c r="F40" s="81">
        <v>4403589</v>
      </c>
      <c r="G40" s="81"/>
      <c r="H40" s="81">
        <v>5786016</v>
      </c>
      <c r="I40" s="81"/>
      <c r="J40" s="81">
        <v>6316261</v>
      </c>
      <c r="K40" s="81"/>
      <c r="L40" s="81">
        <v>6884724.4900000002</v>
      </c>
      <c r="M40" s="81"/>
      <c r="N40" s="81">
        <v>7469926.0716500003</v>
      </c>
      <c r="O40" s="81"/>
      <c r="P40" s="81">
        <v>8067520.1573820012</v>
      </c>
      <c r="Q40" s="81"/>
      <c r="R40" s="81">
        <v>8672584.1691856515</v>
      </c>
      <c r="S40" s="81"/>
      <c r="T40" s="81">
        <v>9279665.0610286482</v>
      </c>
      <c r="U40" s="208"/>
    </row>
    <row r="41" spans="1:21">
      <c r="B41" s="206" t="s">
        <v>47</v>
      </c>
      <c r="C41" s="207"/>
      <c r="D41" s="81">
        <v>-1458916</v>
      </c>
      <c r="E41" s="81"/>
      <c r="F41" s="81">
        <v>-475604</v>
      </c>
      <c r="G41" s="81"/>
      <c r="H41" s="81">
        <v>-118912</v>
      </c>
      <c r="I41" s="81"/>
      <c r="J41" s="81">
        <v>-188374</v>
      </c>
      <c r="K41" s="81"/>
      <c r="L41" s="81">
        <v>378659.84695000062</v>
      </c>
      <c r="M41" s="81"/>
      <c r="N41" s="81">
        <v>463135.41644230019</v>
      </c>
      <c r="O41" s="81"/>
      <c r="P41" s="81">
        <v>564726.41101674084</v>
      </c>
      <c r="Q41" s="81"/>
      <c r="R41" s="81">
        <v>676461.5651964806</v>
      </c>
      <c r="S41" s="81"/>
      <c r="T41" s="81">
        <v>788771.53018743545</v>
      </c>
      <c r="U41" s="208"/>
    </row>
    <row r="42" spans="1:21">
      <c r="B42" s="209" t="s">
        <v>290</v>
      </c>
      <c r="C42" s="210"/>
      <c r="D42" s="81">
        <v>5872</v>
      </c>
      <c r="E42" s="81"/>
      <c r="F42" s="81">
        <v>8616</v>
      </c>
      <c r="G42" s="81"/>
      <c r="H42" s="81">
        <v>2566</v>
      </c>
      <c r="I42" s="81"/>
      <c r="J42" s="81">
        <v>-2897255</v>
      </c>
      <c r="K42" s="81"/>
      <c r="L42" s="81">
        <v>56798.97704250009</v>
      </c>
      <c r="M42" s="81"/>
      <c r="N42" s="81">
        <v>78733.020795191042</v>
      </c>
      <c r="O42" s="81"/>
      <c r="P42" s="81">
        <v>107298.01809318076</v>
      </c>
      <c r="Q42" s="81"/>
      <c r="R42" s="81">
        <v>142056.92869126092</v>
      </c>
      <c r="S42" s="81"/>
      <c r="T42" s="81">
        <v>173529.7366412358</v>
      </c>
      <c r="U42" s="208"/>
    </row>
    <row r="43" spans="1:21">
      <c r="B43" s="206" t="s">
        <v>291</v>
      </c>
      <c r="C43" s="207"/>
      <c r="D43" s="81">
        <f>D41-D42</f>
        <v>-1464788</v>
      </c>
      <c r="E43" s="81"/>
      <c r="F43" s="81">
        <f t="shared" ref="F43" si="0">F41-F42</f>
        <v>-484220</v>
      </c>
      <c r="G43" s="81"/>
      <c r="H43" s="81">
        <f t="shared" ref="H43" si="1">H41-H42</f>
        <v>-121478</v>
      </c>
      <c r="I43" s="81"/>
      <c r="J43" s="81">
        <f t="shared" ref="J43" si="2">J41-J42</f>
        <v>2708881</v>
      </c>
      <c r="K43" s="81"/>
      <c r="L43" s="81">
        <f t="shared" ref="L43" si="3">L41-L42</f>
        <v>321860.86990750051</v>
      </c>
      <c r="M43" s="81"/>
      <c r="N43" s="81">
        <v>384402.39564710914</v>
      </c>
      <c r="O43" s="81"/>
      <c r="P43" s="81">
        <v>457428.39292356011</v>
      </c>
      <c r="Q43" s="81"/>
      <c r="R43" s="81">
        <v>534404.63650521962</v>
      </c>
      <c r="S43" s="81"/>
      <c r="T43" s="81">
        <v>615241.79354619968</v>
      </c>
      <c r="U43" s="208"/>
    </row>
    <row r="44" spans="1:21">
      <c r="B44" s="209" t="s">
        <v>292</v>
      </c>
      <c r="C44" s="210"/>
      <c r="D44" s="81">
        <v>154798</v>
      </c>
      <c r="E44" s="81"/>
      <c r="F44" s="81">
        <v>116513</v>
      </c>
      <c r="G44" s="81"/>
      <c r="H44" s="81">
        <v>148892</v>
      </c>
      <c r="I44" s="81"/>
      <c r="J44" s="81">
        <v>135227</v>
      </c>
      <c r="K44" s="81"/>
      <c r="L44" s="81">
        <v>136317.54490200002</v>
      </c>
      <c r="M44" s="81"/>
      <c r="N44" s="81">
        <v>144169.57318284502</v>
      </c>
      <c r="O44" s="81"/>
      <c r="P44" s="81">
        <v>150862.62694304343</v>
      </c>
      <c r="Q44" s="81"/>
      <c r="R44" s="81">
        <v>158708.29029609743</v>
      </c>
      <c r="S44" s="81"/>
      <c r="T44" s="81">
        <v>167033.97109851564</v>
      </c>
      <c r="U44" s="208"/>
    </row>
    <row r="45" spans="1:21">
      <c r="B45" s="209" t="s">
        <v>293</v>
      </c>
      <c r="C45" s="210"/>
      <c r="D45" s="81">
        <v>-114970</v>
      </c>
      <c r="E45" s="81"/>
      <c r="F45" s="81">
        <v>-149819</v>
      </c>
      <c r="G45" s="81"/>
      <c r="H45" s="81">
        <v>-83470</v>
      </c>
      <c r="I45" s="81"/>
      <c r="J45" s="81">
        <v>-52822</v>
      </c>
      <c r="K45" s="81"/>
      <c r="L45" s="81">
        <v>68847.244900000005</v>
      </c>
      <c r="M45" s="81"/>
      <c r="N45" s="81">
        <v>82169.186788149993</v>
      </c>
      <c r="O45" s="81"/>
      <c r="P45" s="81">
        <v>96810.241888584016</v>
      </c>
      <c r="Q45" s="81"/>
      <c r="R45" s="81">
        <v>112743.59419941346</v>
      </c>
      <c r="S45" s="81"/>
      <c r="T45" s="81">
        <v>139194.97591542971</v>
      </c>
      <c r="U45" s="208"/>
    </row>
    <row r="46" spans="1:21">
      <c r="B46" s="209" t="s">
        <v>294</v>
      </c>
      <c r="C46" s="210"/>
      <c r="D46" s="81">
        <v>-549704</v>
      </c>
      <c r="E46" s="81"/>
      <c r="F46" s="81">
        <v>-384142</v>
      </c>
      <c r="G46" s="81"/>
      <c r="H46" s="81">
        <v>-930209</v>
      </c>
      <c r="I46" s="81"/>
      <c r="J46" s="81">
        <v>-1606306</v>
      </c>
      <c r="K46" s="81"/>
      <c r="L46" s="81">
        <v>-895014.18370000005</v>
      </c>
      <c r="M46" s="81"/>
      <c r="N46" s="81">
        <v>-933740.75895625004</v>
      </c>
      <c r="O46" s="81"/>
      <c r="P46" s="81">
        <v>-968102.4188858401</v>
      </c>
      <c r="Q46" s="81"/>
      <c r="R46" s="81">
        <v>-997347.17945634993</v>
      </c>
      <c r="S46" s="81"/>
      <c r="T46" s="81">
        <v>-1020763.1567131513</v>
      </c>
      <c r="U46" s="208"/>
    </row>
    <row r="47" spans="1:21" ht="15.75" thickBot="1">
      <c r="B47" s="211" t="s">
        <v>225</v>
      </c>
      <c r="C47" s="212"/>
      <c r="D47" s="213">
        <v>-352255</v>
      </c>
      <c r="E47" s="213"/>
      <c r="F47" s="213">
        <v>-248063</v>
      </c>
      <c r="G47" s="213"/>
      <c r="H47" s="213">
        <v>766267</v>
      </c>
      <c r="I47" s="213"/>
      <c r="J47" s="213">
        <v>1115616</v>
      </c>
      <c r="K47" s="213"/>
      <c r="L47" s="213">
        <v>1284345.3536095007</v>
      </c>
      <c r="M47" s="213"/>
      <c r="N47" s="213">
        <v>1380143.5409980542</v>
      </c>
      <c r="O47" s="213"/>
      <c r="P47" s="213">
        <v>1479583.1968638597</v>
      </c>
      <c r="Q47" s="213"/>
      <c r="R47" s="213">
        <v>1577716.5120582534</v>
      </c>
      <c r="S47" s="213"/>
      <c r="T47" s="213">
        <v>1663843.9454424367</v>
      </c>
      <c r="U47" s="214"/>
    </row>
    <row r="48" spans="1:21" ht="16.5" thickTop="1" thickBot="1"/>
    <row r="49" spans="14:21" ht="15.75" thickTop="1">
      <c r="N49" s="224" t="s">
        <v>414</v>
      </c>
      <c r="O49" s="225"/>
      <c r="P49" s="225"/>
      <c r="Q49" s="225"/>
      <c r="R49" s="225"/>
      <c r="S49" s="225"/>
      <c r="T49" s="226"/>
      <c r="U49" s="216"/>
    </row>
    <row r="50" spans="14:21">
      <c r="N50" s="194"/>
      <c r="O50" s="48"/>
      <c r="P50" s="48"/>
      <c r="Q50" s="48"/>
      <c r="R50" s="48"/>
      <c r="S50" s="48"/>
      <c r="T50" s="48"/>
      <c r="U50" s="195"/>
    </row>
    <row r="51" spans="14:21">
      <c r="N51" s="194"/>
      <c r="O51" s="217" t="s">
        <v>415</v>
      </c>
      <c r="P51" s="217"/>
      <c r="Q51" s="217"/>
      <c r="R51" s="217"/>
      <c r="S51" s="217"/>
      <c r="T51" s="217"/>
      <c r="U51" s="218"/>
    </row>
    <row r="52" spans="14:21">
      <c r="N52" s="194"/>
      <c r="O52" s="219"/>
      <c r="P52" s="219"/>
      <c r="Q52" s="48"/>
      <c r="R52" s="48"/>
      <c r="S52" s="48"/>
      <c r="T52" s="48"/>
      <c r="U52" s="195"/>
    </row>
    <row r="53" spans="14:21">
      <c r="N53" s="194"/>
      <c r="O53" s="217" t="s">
        <v>416</v>
      </c>
      <c r="P53" s="217"/>
      <c r="Q53" s="217"/>
      <c r="R53" s="217"/>
      <c r="S53" s="217"/>
      <c r="T53" s="217"/>
      <c r="U53" s="218"/>
    </row>
    <row r="54" spans="14:21">
      <c r="N54" s="194"/>
      <c r="O54" s="219"/>
      <c r="P54" s="219"/>
      <c r="Q54" s="48"/>
      <c r="R54" s="48"/>
      <c r="S54" s="48"/>
      <c r="T54" s="48"/>
      <c r="U54" s="195"/>
    </row>
    <row r="55" spans="14:21">
      <c r="N55" s="194"/>
      <c r="O55" s="217" t="s">
        <v>419</v>
      </c>
      <c r="P55" s="217"/>
      <c r="Q55" s="217"/>
      <c r="R55" s="217"/>
      <c r="S55" s="217"/>
      <c r="T55" s="217"/>
      <c r="U55" s="218"/>
    </row>
    <row r="56" spans="14:21">
      <c r="N56" s="194"/>
      <c r="O56" s="219"/>
      <c r="P56" s="219"/>
      <c r="Q56" s="48"/>
      <c r="R56" s="48"/>
      <c r="S56" s="48"/>
      <c r="T56" s="48"/>
      <c r="U56" s="195"/>
    </row>
    <row r="57" spans="14:21">
      <c r="N57" s="194"/>
      <c r="O57" s="217" t="s">
        <v>417</v>
      </c>
      <c r="P57" s="217"/>
      <c r="Q57" s="217"/>
      <c r="R57" s="217"/>
      <c r="S57" s="217"/>
      <c r="T57" s="217"/>
      <c r="U57" s="218"/>
    </row>
    <row r="58" spans="14:21">
      <c r="N58" s="194"/>
      <c r="O58" s="219"/>
      <c r="P58" s="219"/>
      <c r="Q58" s="48"/>
      <c r="R58" s="48"/>
      <c r="S58" s="48"/>
      <c r="T58" s="48"/>
      <c r="U58" s="195"/>
    </row>
    <row r="59" spans="14:21">
      <c r="N59" s="194"/>
      <c r="O59" s="217" t="s">
        <v>418</v>
      </c>
      <c r="P59" s="217"/>
      <c r="Q59" s="217"/>
      <c r="R59" s="217"/>
      <c r="S59" s="217"/>
      <c r="T59" s="217"/>
      <c r="U59" s="218"/>
    </row>
    <row r="60" spans="14:21" ht="15.75" thickBot="1">
      <c r="N60" s="220"/>
      <c r="O60" s="221"/>
      <c r="P60" s="221"/>
      <c r="Q60" s="221"/>
      <c r="R60" s="221"/>
      <c r="S60" s="221"/>
      <c r="T60" s="221"/>
      <c r="U60" s="222"/>
    </row>
    <row r="61" spans="14:21" ht="15.75" thickTop="1"/>
    <row r="65" spans="4:12">
      <c r="D65" s="223" t="s">
        <v>420</v>
      </c>
      <c r="E65" s="223"/>
      <c r="F65" s="223"/>
      <c r="G65" s="223"/>
      <c r="H65" s="223"/>
      <c r="I65" s="223"/>
      <c r="J65" s="223"/>
      <c r="K65" s="223"/>
      <c r="L65" s="223"/>
    </row>
  </sheetData>
  <mergeCells count="171">
    <mergeCell ref="U31:U32"/>
    <mergeCell ref="U33:U34"/>
    <mergeCell ref="U35:U36"/>
    <mergeCell ref="R35:R36"/>
    <mergeCell ref="S29:S30"/>
    <mergeCell ref="S31:S32"/>
    <mergeCell ref="S33:S34"/>
    <mergeCell ref="S35:S36"/>
    <mergeCell ref="T29:T30"/>
    <mergeCell ref="T31:T32"/>
    <mergeCell ref="T33:T34"/>
    <mergeCell ref="T35:T36"/>
    <mergeCell ref="P35:P36"/>
    <mergeCell ref="Q27:Q28"/>
    <mergeCell ref="R27:R28"/>
    <mergeCell ref="S27:S28"/>
    <mergeCell ref="T27:T28"/>
    <mergeCell ref="U27:U28"/>
    <mergeCell ref="Q29:Q30"/>
    <mergeCell ref="Q31:Q32"/>
    <mergeCell ref="Q33:Q34"/>
    <mergeCell ref="Q35:Q36"/>
    <mergeCell ref="P25:P26"/>
    <mergeCell ref="Q25:U25"/>
    <mergeCell ref="P27:P28"/>
    <mergeCell ref="P29:P30"/>
    <mergeCell ref="P31:P32"/>
    <mergeCell ref="P33:P34"/>
    <mergeCell ref="R29:R30"/>
    <mergeCell ref="R31:R32"/>
    <mergeCell ref="R33:R34"/>
    <mergeCell ref="U29:U30"/>
    <mergeCell ref="D65:L65"/>
    <mergeCell ref="O51:U51"/>
    <mergeCell ref="O53:U53"/>
    <mergeCell ref="O55:U55"/>
    <mergeCell ref="O57:U57"/>
    <mergeCell ref="O59:U59"/>
    <mergeCell ref="P47:Q47"/>
    <mergeCell ref="R47:S47"/>
    <mergeCell ref="T47:U47"/>
    <mergeCell ref="H47:I47"/>
    <mergeCell ref="F47:G47"/>
    <mergeCell ref="D47:E47"/>
    <mergeCell ref="J47:K47"/>
    <mergeCell ref="L47:M47"/>
    <mergeCell ref="N47:O47"/>
    <mergeCell ref="F46:G46"/>
    <mergeCell ref="H46:I46"/>
    <mergeCell ref="J46:K46"/>
    <mergeCell ref="L46:M46"/>
    <mergeCell ref="N46:O46"/>
    <mergeCell ref="P46:Q46"/>
    <mergeCell ref="F45:G45"/>
    <mergeCell ref="H45:I45"/>
    <mergeCell ref="J45:K45"/>
    <mergeCell ref="L45:M45"/>
    <mergeCell ref="N45:O45"/>
    <mergeCell ref="P45:Q45"/>
    <mergeCell ref="J44:K44"/>
    <mergeCell ref="L44:M44"/>
    <mergeCell ref="N44:O44"/>
    <mergeCell ref="P44:Q44"/>
    <mergeCell ref="R44:S44"/>
    <mergeCell ref="T44:U44"/>
    <mergeCell ref="J43:K43"/>
    <mergeCell ref="L43:M43"/>
    <mergeCell ref="N43:O43"/>
    <mergeCell ref="P43:Q43"/>
    <mergeCell ref="R43:S43"/>
    <mergeCell ref="T43:U43"/>
    <mergeCell ref="L41:M41"/>
    <mergeCell ref="N41:O41"/>
    <mergeCell ref="P41:Q41"/>
    <mergeCell ref="R41:S41"/>
    <mergeCell ref="T41:U41"/>
    <mergeCell ref="F42:G42"/>
    <mergeCell ref="L42:M42"/>
    <mergeCell ref="N42:O42"/>
    <mergeCell ref="P42:Q42"/>
    <mergeCell ref="R42:S42"/>
    <mergeCell ref="D44:E44"/>
    <mergeCell ref="D45:E45"/>
    <mergeCell ref="D46:E46"/>
    <mergeCell ref="F40:G40"/>
    <mergeCell ref="H40:I40"/>
    <mergeCell ref="J40:K40"/>
    <mergeCell ref="F41:G41"/>
    <mergeCell ref="H41:I41"/>
    <mergeCell ref="J41:K41"/>
    <mergeCell ref="F43:G43"/>
    <mergeCell ref="B42:C42"/>
    <mergeCell ref="B43:C43"/>
    <mergeCell ref="B44:C44"/>
    <mergeCell ref="B45:C45"/>
    <mergeCell ref="B46:C46"/>
    <mergeCell ref="B47:C47"/>
    <mergeCell ref="B38:D38"/>
    <mergeCell ref="B40:C40"/>
    <mergeCell ref="B41:C41"/>
    <mergeCell ref="D39:E39"/>
    <mergeCell ref="F39:G39"/>
    <mergeCell ref="H39:I39"/>
    <mergeCell ref="J39:K39"/>
    <mergeCell ref="R45:S45"/>
    <mergeCell ref="T45:U45"/>
    <mergeCell ref="R46:S46"/>
    <mergeCell ref="T46:U46"/>
    <mergeCell ref="T42:U42"/>
    <mergeCell ref="P40:Q40"/>
    <mergeCell ref="R40:S40"/>
    <mergeCell ref="T40:U40"/>
    <mergeCell ref="P39:Q39"/>
    <mergeCell ref="R39:S39"/>
    <mergeCell ref="J42:K42"/>
    <mergeCell ref="L39:M39"/>
    <mergeCell ref="N39:O39"/>
    <mergeCell ref="L40:M40"/>
    <mergeCell ref="N40:O40"/>
    <mergeCell ref="H42:I42"/>
    <mergeCell ref="H43:I43"/>
    <mergeCell ref="F44:G44"/>
    <mergeCell ref="H44:I44"/>
    <mergeCell ref="D40:E40"/>
    <mergeCell ref="D41:E41"/>
    <mergeCell ref="D42:E42"/>
    <mergeCell ref="D43:E43"/>
    <mergeCell ref="A17:C18"/>
    <mergeCell ref="A36:C36"/>
    <mergeCell ref="A33:C33"/>
    <mergeCell ref="T18:U19"/>
    <mergeCell ref="P20:S21"/>
    <mergeCell ref="T20:U21"/>
    <mergeCell ref="P22:S23"/>
    <mergeCell ref="T22:U23"/>
    <mergeCell ref="T10:U11"/>
    <mergeCell ref="P12:S13"/>
    <mergeCell ref="T12:U13"/>
    <mergeCell ref="P14:S15"/>
    <mergeCell ref="T14:U15"/>
    <mergeCell ref="P16:S17"/>
    <mergeCell ref="T16:U17"/>
    <mergeCell ref="P10:S11"/>
    <mergeCell ref="P18:S19"/>
    <mergeCell ref="S1:U1"/>
    <mergeCell ref="S2:U5"/>
    <mergeCell ref="S6:U6"/>
    <mergeCell ref="P8:U9"/>
    <mergeCell ref="J1:L1"/>
    <mergeCell ref="J2:L5"/>
    <mergeCell ref="J6:L6"/>
    <mergeCell ref="M6:O6"/>
    <mergeCell ref="M2:O5"/>
    <mergeCell ref="P1:R1"/>
    <mergeCell ref="P2:R5"/>
    <mergeCell ref="P6:R6"/>
    <mergeCell ref="D6:F6"/>
    <mergeCell ref="D2:F5"/>
    <mergeCell ref="G6:I6"/>
    <mergeCell ref="G2:I5"/>
    <mergeCell ref="A5:C5"/>
    <mergeCell ref="A7:C7"/>
    <mergeCell ref="A13:C13"/>
    <mergeCell ref="A15:C15"/>
    <mergeCell ref="A11:C11"/>
    <mergeCell ref="A9:C9"/>
    <mergeCell ref="M1:O1"/>
    <mergeCell ref="A1:C1"/>
    <mergeCell ref="D1:F1"/>
    <mergeCell ref="G1:I1"/>
    <mergeCell ref="A3:C3"/>
  </mergeCells>
  <phoneticPr fontId="29" type="noConversion"/>
  <conditionalFormatting sqref="H40:H47 F40:F47 D40:D47 J40:J47 L40:L47 N40:N47 P40:P47 R40:R47 T40:T47">
    <cfRule type="cellIs" dxfId="0" priority="2" operator="lessThan">
      <formula>0</formula>
    </cfRule>
  </conditionalFormatting>
  <conditionalFormatting sqref="Q27:U37">
    <cfRule type="colorScale" priority="1">
      <colorScale>
        <cfvo type="min"/>
        <cfvo type="percentile" val="50"/>
        <cfvo type="max"/>
        <color rgb="FFF8696B"/>
        <color rgb="FFFFEB84"/>
        <color rgb="FF63BE7B"/>
      </colorScale>
    </cfRule>
  </conditionalFormatting>
  <hyperlinks>
    <hyperlink ref="A1:C1" location="'EXECUTIVE DASHBOARD'!A1" display="1   EXECUTIVE DASHBOARD" xr:uid="{F4C637F0-ECD7-485E-B17A-E02CF679F01A}"/>
    <hyperlink ref="A3:C3" location="'TRANSACTION OVERVIEW'!A1" display="2   TRANSACTION OVERVIEW" xr:uid="{9497243C-C21C-45B1-AF19-88D82B6F1DD3}"/>
    <hyperlink ref="A5:C5" location="'HISTORICAL FINANCIALS'!A1" display="3   HISTORIC FINANCIALS" xr:uid="{EFD0F92E-A45F-42DE-B77E-5DC99E316261}"/>
    <hyperlink ref="A7:C7" location="ASSUMPTIONS!A1" display="4   ASSUMPTIONS" xr:uid="{C98A6D63-4E30-4DD3-8514-A565AEFECDF0}"/>
    <hyperlink ref="A9:C9" location="'FORECAST MODEL &amp; FCF BUILD UP'!A1" display="5   FORECAST MODEL &amp; FCF BUILD UP" xr:uid="{1B30BA43-2AFF-4611-AD50-1CC5EC0BA135}"/>
    <hyperlink ref="A11:C11" location="'DCF &amp; SENSITIVITY ANALYSIS'!A1" display="6   DCF &amp; SENSITIVITY ANALYSIS" xr:uid="{0608B26B-0E54-4374-82F4-A6DA5114C838}"/>
    <hyperlink ref="A13:C13" location="SYNERGIES!A1" display="7   SYNERGIES ANALYSIS" xr:uid="{5FBCD3FF-741B-48CD-A54A-92B01833EE7E}"/>
    <hyperlink ref="A15:C15" location="RECOMMENDATION!A1" display="8   RECOMMENDATION" xr:uid="{0B3EA340-086E-4FC4-9884-9596AA287E8D}"/>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2963-C741-45BD-BB9B-2F1B32B0C25A}">
  <dimension ref="A2:J6"/>
  <sheetViews>
    <sheetView workbookViewId="0">
      <selection activeCell="F14" sqref="F14"/>
    </sheetView>
  </sheetViews>
  <sheetFormatPr defaultRowHeight="15"/>
  <cols>
    <col min="1" max="1" width="20.42578125" bestFit="1" customWidth="1"/>
    <col min="2" max="2" width="14" bestFit="1" customWidth="1"/>
    <col min="3" max="5" width="13.42578125" bestFit="1" customWidth="1"/>
    <col min="6" max="10" width="13.28515625" bestFit="1" customWidth="1"/>
  </cols>
  <sheetData>
    <row r="2" spans="1:10">
      <c r="A2" t="s">
        <v>365</v>
      </c>
      <c r="B2" t="s">
        <v>281</v>
      </c>
      <c r="C2" t="s">
        <v>282</v>
      </c>
      <c r="D2" t="s">
        <v>283</v>
      </c>
      <c r="E2" t="s">
        <v>251</v>
      </c>
      <c r="F2" t="s">
        <v>252</v>
      </c>
      <c r="G2" t="s">
        <v>253</v>
      </c>
      <c r="H2" t="s">
        <v>254</v>
      </c>
      <c r="I2" t="s">
        <v>255</v>
      </c>
      <c r="J2" t="s">
        <v>256</v>
      </c>
    </row>
    <row r="3" spans="1:10">
      <c r="A3" t="s">
        <v>2</v>
      </c>
      <c r="B3" s="89">
        <v>4095135</v>
      </c>
      <c r="C3" s="89">
        <v>4403589</v>
      </c>
      <c r="D3" s="89">
        <v>5786016</v>
      </c>
      <c r="E3" s="89">
        <v>6316261</v>
      </c>
      <c r="F3" s="89">
        <v>6884724.4900000002</v>
      </c>
      <c r="G3" s="89">
        <v>7469926.0716500003</v>
      </c>
      <c r="H3" s="89">
        <v>8067520.1573820012</v>
      </c>
      <c r="I3" s="89">
        <v>8672584.1691856515</v>
      </c>
      <c r="J3" s="89">
        <v>9279665.0610286482</v>
      </c>
    </row>
    <row r="4" spans="1:10">
      <c r="A4" t="s">
        <v>48</v>
      </c>
      <c r="B4" s="89">
        <v>-1404106</v>
      </c>
      <c r="C4" s="89">
        <v>-188968</v>
      </c>
      <c r="D4" s="89">
        <v>203163</v>
      </c>
      <c r="E4" s="89">
        <v>102735</v>
      </c>
      <c r="F4" s="89">
        <v>514977.39185200061</v>
      </c>
      <c r="G4" s="89">
        <v>607304.98962514522</v>
      </c>
      <c r="H4" s="89">
        <v>715589.03795978427</v>
      </c>
      <c r="I4" s="89">
        <v>835169.855492578</v>
      </c>
      <c r="J4" s="89">
        <v>955805.50128595112</v>
      </c>
    </row>
    <row r="5" spans="1:10">
      <c r="A5" t="s">
        <v>216</v>
      </c>
      <c r="B5" s="189">
        <v>-0.3428717246195791</v>
      </c>
      <c r="C5" s="189">
        <v>-4.29122699688822E-2</v>
      </c>
      <c r="D5" s="189">
        <v>3.511276152710259E-2</v>
      </c>
      <c r="E5" s="189">
        <v>1.6265160670212962E-2</v>
      </c>
      <c r="F5" s="189">
        <v>7.4800000000000089E-2</v>
      </c>
      <c r="G5" s="189">
        <v>8.1300000000000025E-2</v>
      </c>
      <c r="H5" s="189">
        <v>8.8700000000000098E-2</v>
      </c>
      <c r="I5" s="189">
        <v>9.6299999999999969E-2</v>
      </c>
      <c r="J5" s="189">
        <v>0.10300000000000004</v>
      </c>
    </row>
    <row r="6" spans="1:10">
      <c r="A6" t="s">
        <v>225</v>
      </c>
      <c r="B6" s="89">
        <v>-352255</v>
      </c>
      <c r="C6" s="89">
        <v>-248063</v>
      </c>
      <c r="D6" s="89">
        <v>766267</v>
      </c>
      <c r="E6" s="89">
        <v>1115616</v>
      </c>
      <c r="F6" s="89">
        <v>1284345.3536095007</v>
      </c>
      <c r="G6" s="89">
        <v>1380143.5409980542</v>
      </c>
      <c r="H6" s="89">
        <v>1479583.1968638597</v>
      </c>
      <c r="I6" s="89">
        <v>1577716.5120582534</v>
      </c>
      <c r="J6" s="89">
        <v>1663843.9454424367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E864A-84E0-4483-9F33-BEFD3F30D07E}">
  <dimension ref="A1:T31"/>
  <sheetViews>
    <sheetView showGridLines="0" zoomScale="96" zoomScaleNormal="96" workbookViewId="0">
      <selection sqref="A1:D1"/>
    </sheetView>
  </sheetViews>
  <sheetFormatPr defaultRowHeight="15"/>
  <sheetData>
    <row r="1" spans="1:20" ht="24">
      <c r="A1" s="260" t="s">
        <v>349</v>
      </c>
      <c r="B1" s="260"/>
      <c r="C1" s="260"/>
      <c r="D1" s="260"/>
    </row>
    <row r="3" spans="1:20">
      <c r="A3" s="271" t="s">
        <v>422</v>
      </c>
      <c r="B3" s="271"/>
      <c r="C3" s="271"/>
      <c r="D3" s="271"/>
      <c r="E3" s="271"/>
      <c r="F3" s="271"/>
      <c r="G3" s="271"/>
      <c r="H3" s="271"/>
      <c r="I3" s="271"/>
      <c r="J3" s="271"/>
      <c r="K3" s="271"/>
      <c r="L3" s="271"/>
      <c r="M3" s="271"/>
      <c r="N3" s="271"/>
      <c r="O3" s="271"/>
      <c r="P3" s="271"/>
      <c r="Q3" s="271"/>
      <c r="R3" s="271"/>
      <c r="S3" s="271"/>
      <c r="T3" s="271"/>
    </row>
    <row r="4" spans="1:20">
      <c r="A4" s="271"/>
      <c r="B4" s="271"/>
      <c r="C4" s="271"/>
      <c r="D4" s="271"/>
      <c r="E4" s="271"/>
      <c r="F4" s="271"/>
      <c r="G4" s="271"/>
      <c r="H4" s="271"/>
      <c r="I4" s="271"/>
      <c r="J4" s="271"/>
      <c r="K4" s="271"/>
      <c r="L4" s="271"/>
      <c r="M4" s="271"/>
      <c r="N4" s="271"/>
      <c r="O4" s="271"/>
      <c r="P4" s="271"/>
      <c r="Q4" s="271"/>
      <c r="R4" s="271"/>
      <c r="S4" s="271"/>
      <c r="T4" s="271"/>
    </row>
    <row r="5" spans="1:20">
      <c r="A5" s="104"/>
      <c r="B5" s="104"/>
      <c r="C5" s="104"/>
      <c r="D5" s="104"/>
      <c r="E5" s="261"/>
      <c r="F5" s="104"/>
      <c r="G5" s="104"/>
      <c r="H5" s="104"/>
      <c r="I5" s="104"/>
      <c r="J5" s="261"/>
      <c r="K5" s="104"/>
      <c r="L5" s="104"/>
      <c r="M5" s="104"/>
      <c r="N5" s="104"/>
      <c r="O5" s="261"/>
      <c r="P5" s="104"/>
      <c r="Q5" s="104"/>
      <c r="R5" s="104"/>
      <c r="S5" s="104"/>
      <c r="T5" s="261"/>
    </row>
    <row r="6" spans="1:20">
      <c r="A6" s="104"/>
      <c r="B6" s="104"/>
      <c r="C6" s="104"/>
      <c r="D6" s="104"/>
      <c r="E6" s="261"/>
      <c r="F6" s="104"/>
      <c r="G6" s="104"/>
      <c r="H6" s="104"/>
      <c r="I6" s="104"/>
      <c r="J6" s="261"/>
      <c r="K6" s="104"/>
      <c r="L6" s="104"/>
      <c r="M6" s="104"/>
      <c r="N6" s="104"/>
      <c r="O6" s="261"/>
      <c r="P6" s="104"/>
      <c r="Q6" s="104"/>
      <c r="R6" s="104"/>
      <c r="S6" s="104"/>
      <c r="T6" s="261"/>
    </row>
    <row r="7" spans="1:20">
      <c r="A7" s="104"/>
      <c r="B7" s="104"/>
      <c r="C7" s="104"/>
      <c r="D7" s="104"/>
      <c r="E7" s="261"/>
      <c r="F7" s="104"/>
      <c r="G7" s="104"/>
      <c r="H7" s="104"/>
      <c r="I7" s="104"/>
      <c r="J7" s="261"/>
      <c r="K7" s="104"/>
      <c r="L7" s="104"/>
      <c r="M7" s="104"/>
      <c r="N7" s="104"/>
      <c r="O7" s="261"/>
      <c r="P7" s="104"/>
      <c r="Q7" s="104"/>
      <c r="R7" s="104"/>
      <c r="S7" s="104"/>
      <c r="T7" s="261"/>
    </row>
    <row r="8" spans="1:20">
      <c r="A8" s="141" t="s">
        <v>423</v>
      </c>
      <c r="B8" s="141"/>
      <c r="C8" s="141"/>
      <c r="D8" s="141"/>
      <c r="E8" s="266"/>
      <c r="F8" s="264" t="s">
        <v>424</v>
      </c>
      <c r="G8" s="264"/>
      <c r="H8" s="264"/>
      <c r="I8" s="264"/>
      <c r="J8" s="265"/>
      <c r="K8" s="267" t="s">
        <v>426</v>
      </c>
      <c r="L8" s="267"/>
      <c r="M8" s="267"/>
      <c r="N8" s="267"/>
      <c r="O8" s="268"/>
      <c r="P8" s="269" t="s">
        <v>425</v>
      </c>
      <c r="Q8" s="269"/>
      <c r="R8" s="269"/>
      <c r="S8" s="269"/>
      <c r="T8" s="270"/>
    </row>
    <row r="9" spans="1:20">
      <c r="A9" s="141"/>
      <c r="B9" s="141"/>
      <c r="C9" s="141"/>
      <c r="D9" s="141"/>
      <c r="E9" s="266"/>
      <c r="F9" s="264"/>
      <c r="G9" s="264"/>
      <c r="H9" s="264"/>
      <c r="I9" s="264"/>
      <c r="J9" s="265"/>
      <c r="K9" s="267"/>
      <c r="L9" s="267"/>
      <c r="M9" s="267"/>
      <c r="N9" s="267"/>
      <c r="O9" s="268"/>
      <c r="P9" s="269"/>
      <c r="Q9" s="269"/>
      <c r="R9" s="269"/>
      <c r="S9" s="269"/>
      <c r="T9" s="270"/>
    </row>
    <row r="10" spans="1:20">
      <c r="A10" s="262" t="s">
        <v>371</v>
      </c>
      <c r="B10" s="262"/>
      <c r="C10" s="262"/>
      <c r="D10" s="262"/>
      <c r="E10" s="263"/>
      <c r="F10" s="262" t="s">
        <v>373</v>
      </c>
      <c r="G10" s="262"/>
      <c r="H10" s="262"/>
      <c r="I10" s="262"/>
      <c r="J10" s="263"/>
      <c r="K10" s="262" t="s">
        <v>325</v>
      </c>
      <c r="L10" s="262"/>
      <c r="M10" s="262"/>
      <c r="N10" s="262"/>
      <c r="O10" s="263"/>
      <c r="P10" s="262" t="s">
        <v>372</v>
      </c>
      <c r="Q10" s="262"/>
      <c r="R10" s="262"/>
      <c r="S10" s="262"/>
      <c r="T10" s="263"/>
    </row>
    <row r="11" spans="1:20">
      <c r="A11" s="262"/>
      <c r="B11" s="262"/>
      <c r="C11" s="262"/>
      <c r="D11" s="262"/>
      <c r="E11" s="263"/>
      <c r="F11" s="262"/>
      <c r="G11" s="262"/>
      <c r="H11" s="262"/>
      <c r="I11" s="262"/>
      <c r="J11" s="263"/>
      <c r="K11" s="262"/>
      <c r="L11" s="262"/>
      <c r="M11" s="262"/>
      <c r="N11" s="262"/>
      <c r="O11" s="263"/>
      <c r="P11" s="262"/>
      <c r="Q11" s="262"/>
      <c r="R11" s="262"/>
      <c r="S11" s="262"/>
      <c r="T11" s="263"/>
    </row>
    <row r="12" spans="1:20">
      <c r="A12" s="262"/>
      <c r="B12" s="262"/>
      <c r="C12" s="262"/>
      <c r="D12" s="262"/>
      <c r="E12" s="263"/>
      <c r="F12" s="262"/>
      <c r="G12" s="262"/>
      <c r="H12" s="262"/>
      <c r="I12" s="262"/>
      <c r="J12" s="263"/>
      <c r="K12" s="262"/>
      <c r="L12" s="262"/>
      <c r="M12" s="262"/>
      <c r="N12" s="262"/>
      <c r="O12" s="263"/>
      <c r="P12" s="262"/>
      <c r="Q12" s="262"/>
      <c r="R12" s="262"/>
      <c r="S12" s="262"/>
      <c r="T12" s="263"/>
    </row>
    <row r="13" spans="1:20">
      <c r="A13" s="262"/>
      <c r="B13" s="262"/>
      <c r="C13" s="262"/>
      <c r="D13" s="262"/>
      <c r="E13" s="263"/>
      <c r="F13" s="262"/>
      <c r="G13" s="262"/>
      <c r="H13" s="262"/>
      <c r="I13" s="262"/>
      <c r="J13" s="263"/>
      <c r="K13" s="262"/>
      <c r="L13" s="262"/>
      <c r="M13" s="262"/>
      <c r="N13" s="262"/>
      <c r="O13" s="263"/>
      <c r="P13" s="262"/>
      <c r="Q13" s="262"/>
      <c r="R13" s="262"/>
      <c r="S13" s="262"/>
      <c r="T13" s="263"/>
    </row>
    <row r="14" spans="1:20">
      <c r="A14" s="262"/>
      <c r="B14" s="262"/>
      <c r="C14" s="262"/>
      <c r="D14" s="262"/>
      <c r="E14" s="263"/>
      <c r="F14" s="262"/>
      <c r="G14" s="262"/>
      <c r="H14" s="262"/>
      <c r="I14" s="262"/>
      <c r="J14" s="263"/>
      <c r="K14" s="262"/>
      <c r="L14" s="262"/>
      <c r="M14" s="262"/>
      <c r="N14" s="262"/>
      <c r="O14" s="263"/>
      <c r="P14" s="262"/>
      <c r="Q14" s="262"/>
      <c r="R14" s="262"/>
      <c r="S14" s="262"/>
      <c r="T14" s="263"/>
    </row>
    <row r="15" spans="1:20">
      <c r="A15" s="262"/>
      <c r="B15" s="262"/>
      <c r="C15" s="262"/>
      <c r="D15" s="262"/>
      <c r="E15" s="263"/>
      <c r="F15" s="262"/>
      <c r="G15" s="262"/>
      <c r="H15" s="262"/>
      <c r="I15" s="262"/>
      <c r="J15" s="263"/>
      <c r="K15" s="262"/>
      <c r="L15" s="262"/>
      <c r="M15" s="262"/>
      <c r="N15" s="262"/>
      <c r="O15" s="263"/>
      <c r="P15" s="262"/>
      <c r="Q15" s="262"/>
      <c r="R15" s="262"/>
      <c r="S15" s="262"/>
      <c r="T15" s="263"/>
    </row>
    <row r="17" spans="1:20">
      <c r="A17" s="271" t="s">
        <v>427</v>
      </c>
      <c r="B17" s="271"/>
      <c r="C17" s="271"/>
      <c r="D17" s="271"/>
      <c r="E17" s="271"/>
      <c r="F17" s="271"/>
      <c r="G17" s="271"/>
      <c r="H17" s="271"/>
      <c r="I17" s="271"/>
      <c r="J17" s="271"/>
      <c r="K17" s="271"/>
      <c r="L17" s="271"/>
      <c r="M17" s="271"/>
      <c r="N17" s="271"/>
      <c r="O17" s="271"/>
      <c r="P17" s="271"/>
      <c r="Q17" s="271"/>
      <c r="R17" s="271"/>
      <c r="S17" s="271"/>
      <c r="T17" s="271"/>
    </row>
    <row r="18" spans="1:20">
      <c r="A18" s="271"/>
      <c r="B18" s="271"/>
      <c r="C18" s="271"/>
      <c r="D18" s="271"/>
      <c r="E18" s="271"/>
      <c r="F18" s="271"/>
      <c r="G18" s="271"/>
      <c r="H18" s="271"/>
      <c r="I18" s="271"/>
      <c r="J18" s="271"/>
      <c r="K18" s="271"/>
      <c r="L18" s="271"/>
      <c r="M18" s="271"/>
      <c r="N18" s="271"/>
      <c r="O18" s="271"/>
      <c r="P18" s="271"/>
      <c r="Q18" s="271"/>
      <c r="R18" s="271"/>
      <c r="S18" s="271"/>
      <c r="T18" s="271"/>
    </row>
    <row r="20" spans="1:20">
      <c r="A20" s="272" t="s">
        <v>428</v>
      </c>
      <c r="B20" s="273"/>
      <c r="C20" s="273"/>
      <c r="D20" s="273"/>
      <c r="E20" s="273"/>
      <c r="F20" s="274"/>
      <c r="G20" s="273" t="s">
        <v>280</v>
      </c>
      <c r="H20" s="273"/>
      <c r="I20" s="273"/>
      <c r="J20" s="273"/>
      <c r="K20" s="273"/>
      <c r="L20" s="273"/>
      <c r="M20" s="273"/>
      <c r="N20" s="273"/>
      <c r="O20" s="273"/>
      <c r="P20" s="273"/>
      <c r="Q20" s="274"/>
      <c r="R20" s="272" t="s">
        <v>433</v>
      </c>
      <c r="S20" s="273"/>
      <c r="T20" s="274"/>
    </row>
    <row r="21" spans="1:20">
      <c r="A21" s="275"/>
      <c r="B21" s="276"/>
      <c r="C21" s="276"/>
      <c r="D21" s="276"/>
      <c r="E21" s="276"/>
      <c r="F21" s="277"/>
      <c r="G21" s="276"/>
      <c r="H21" s="276"/>
      <c r="I21" s="276"/>
      <c r="J21" s="276"/>
      <c r="K21" s="276"/>
      <c r="L21" s="276"/>
      <c r="M21" s="276"/>
      <c r="N21" s="276"/>
      <c r="O21" s="276"/>
      <c r="P21" s="276"/>
      <c r="Q21" s="277"/>
      <c r="R21" s="275"/>
      <c r="S21" s="276"/>
      <c r="T21" s="277"/>
    </row>
    <row r="22" spans="1:20">
      <c r="A22" s="229"/>
      <c r="B22" s="279" t="s">
        <v>429</v>
      </c>
      <c r="C22" s="279"/>
      <c r="D22" s="279"/>
      <c r="E22" s="279"/>
      <c r="F22" s="282"/>
      <c r="G22" s="287" t="s">
        <v>434</v>
      </c>
      <c r="H22" s="280"/>
      <c r="I22" s="280"/>
      <c r="J22" s="280"/>
      <c r="K22" s="280"/>
      <c r="L22" s="280"/>
      <c r="M22" s="280"/>
      <c r="N22" s="280"/>
      <c r="O22" s="280"/>
      <c r="P22" s="280"/>
      <c r="Q22" s="288"/>
      <c r="R22" s="229"/>
      <c r="S22" s="278"/>
      <c r="T22" s="294"/>
    </row>
    <row r="23" spans="1:20">
      <c r="A23" s="230"/>
      <c r="B23" s="207"/>
      <c r="C23" s="207"/>
      <c r="D23" s="207"/>
      <c r="E23" s="207"/>
      <c r="F23" s="283"/>
      <c r="G23" s="289"/>
      <c r="H23" s="281"/>
      <c r="I23" s="281"/>
      <c r="J23" s="281"/>
      <c r="K23" s="281"/>
      <c r="L23" s="281"/>
      <c r="M23" s="281"/>
      <c r="N23" s="281"/>
      <c r="O23" s="281"/>
      <c r="P23" s="281"/>
      <c r="Q23" s="290"/>
      <c r="R23" s="230"/>
      <c r="S23" s="104"/>
      <c r="T23" s="295"/>
    </row>
    <row r="24" spans="1:20">
      <c r="A24" s="229"/>
      <c r="B24" s="279" t="s">
        <v>430</v>
      </c>
      <c r="C24" s="279"/>
      <c r="D24" s="279"/>
      <c r="E24" s="279"/>
      <c r="F24" s="282"/>
      <c r="G24" s="287" t="s">
        <v>435</v>
      </c>
      <c r="H24" s="280"/>
      <c r="I24" s="280"/>
      <c r="J24" s="280"/>
      <c r="K24" s="280"/>
      <c r="L24" s="280"/>
      <c r="M24" s="280"/>
      <c r="N24" s="280"/>
      <c r="O24" s="280"/>
      <c r="P24" s="280"/>
      <c r="Q24" s="288"/>
      <c r="R24" s="229"/>
      <c r="S24" s="278"/>
      <c r="T24" s="294"/>
    </row>
    <row r="25" spans="1:20">
      <c r="A25" s="230"/>
      <c r="B25" s="207"/>
      <c r="C25" s="207"/>
      <c r="D25" s="207"/>
      <c r="E25" s="207"/>
      <c r="F25" s="283"/>
      <c r="G25" s="289"/>
      <c r="H25" s="281"/>
      <c r="I25" s="281"/>
      <c r="J25" s="281"/>
      <c r="K25" s="281"/>
      <c r="L25" s="281"/>
      <c r="M25" s="281"/>
      <c r="N25" s="281"/>
      <c r="O25" s="281"/>
      <c r="P25" s="281"/>
      <c r="Q25" s="290"/>
      <c r="R25" s="230"/>
      <c r="S25" s="104"/>
      <c r="T25" s="295"/>
    </row>
    <row r="26" spans="1:20">
      <c r="A26" s="229"/>
      <c r="B26" s="279" t="s">
        <v>431</v>
      </c>
      <c r="C26" s="279"/>
      <c r="D26" s="279"/>
      <c r="E26" s="279"/>
      <c r="F26" s="282"/>
      <c r="G26" s="287" t="s">
        <v>436</v>
      </c>
      <c r="H26" s="280"/>
      <c r="I26" s="280"/>
      <c r="J26" s="280"/>
      <c r="K26" s="280"/>
      <c r="L26" s="280"/>
      <c r="M26" s="280"/>
      <c r="N26" s="280"/>
      <c r="O26" s="280"/>
      <c r="P26" s="280"/>
      <c r="Q26" s="288"/>
      <c r="R26" s="229"/>
      <c r="S26" s="278"/>
      <c r="T26" s="294"/>
    </row>
    <row r="27" spans="1:20">
      <c r="A27" s="230"/>
      <c r="B27" s="207"/>
      <c r="C27" s="207"/>
      <c r="D27" s="207"/>
      <c r="E27" s="207"/>
      <c r="F27" s="283"/>
      <c r="G27" s="289"/>
      <c r="H27" s="281"/>
      <c r="I27" s="281"/>
      <c r="J27" s="281"/>
      <c r="K27" s="281"/>
      <c r="L27" s="281"/>
      <c r="M27" s="281"/>
      <c r="N27" s="281"/>
      <c r="O27" s="281"/>
      <c r="P27" s="281"/>
      <c r="Q27" s="290"/>
      <c r="R27" s="230"/>
      <c r="S27" s="104"/>
      <c r="T27" s="295"/>
    </row>
    <row r="28" spans="1:20">
      <c r="A28" s="229"/>
      <c r="B28" s="279" t="s">
        <v>432</v>
      </c>
      <c r="C28" s="279"/>
      <c r="D28" s="279"/>
      <c r="E28" s="279"/>
      <c r="F28" s="282"/>
      <c r="G28" s="287" t="s">
        <v>437</v>
      </c>
      <c r="H28" s="280"/>
      <c r="I28" s="280"/>
      <c r="J28" s="280"/>
      <c r="K28" s="280"/>
      <c r="L28" s="280"/>
      <c r="M28" s="280"/>
      <c r="N28" s="280"/>
      <c r="O28" s="280"/>
      <c r="P28" s="280"/>
      <c r="Q28" s="288"/>
      <c r="R28" s="229"/>
      <c r="S28" s="278"/>
      <c r="T28" s="294"/>
    </row>
    <row r="29" spans="1:20">
      <c r="A29" s="230"/>
      <c r="B29" s="207"/>
      <c r="C29" s="207"/>
      <c r="D29" s="207"/>
      <c r="E29" s="207"/>
      <c r="F29" s="283"/>
      <c r="G29" s="289"/>
      <c r="H29" s="281"/>
      <c r="I29" s="281"/>
      <c r="J29" s="281"/>
      <c r="K29" s="281"/>
      <c r="L29" s="281"/>
      <c r="M29" s="281"/>
      <c r="N29" s="281"/>
      <c r="O29" s="281"/>
      <c r="P29" s="281"/>
      <c r="Q29" s="290"/>
      <c r="R29" s="230"/>
      <c r="S29" s="104"/>
      <c r="T29" s="295"/>
    </row>
    <row r="30" spans="1:20">
      <c r="A30" s="229"/>
      <c r="B30" s="279" t="s">
        <v>326</v>
      </c>
      <c r="C30" s="279"/>
      <c r="D30" s="279"/>
      <c r="E30" s="279"/>
      <c r="F30" s="282"/>
      <c r="G30" s="287" t="s">
        <v>438</v>
      </c>
      <c r="H30" s="280"/>
      <c r="I30" s="280"/>
      <c r="J30" s="280"/>
      <c r="K30" s="280"/>
      <c r="L30" s="280"/>
      <c r="M30" s="280"/>
      <c r="N30" s="280"/>
      <c r="O30" s="280"/>
      <c r="P30" s="280"/>
      <c r="Q30" s="288"/>
      <c r="R30" s="229"/>
      <c r="S30" s="278"/>
      <c r="T30" s="294"/>
    </row>
    <row r="31" spans="1:20">
      <c r="A31" s="284"/>
      <c r="B31" s="285"/>
      <c r="C31" s="285"/>
      <c r="D31" s="285"/>
      <c r="E31" s="285"/>
      <c r="F31" s="286"/>
      <c r="G31" s="291"/>
      <c r="H31" s="292"/>
      <c r="I31" s="292"/>
      <c r="J31" s="292"/>
      <c r="K31" s="292"/>
      <c r="L31" s="292"/>
      <c r="M31" s="292"/>
      <c r="N31" s="292"/>
      <c r="O31" s="292"/>
      <c r="P31" s="292"/>
      <c r="Q31" s="293"/>
      <c r="R31" s="284"/>
      <c r="S31" s="296"/>
      <c r="T31" s="297"/>
    </row>
  </sheetData>
  <mergeCells count="38">
    <mergeCell ref="R22:T23"/>
    <mergeCell ref="R24:T25"/>
    <mergeCell ref="R26:T27"/>
    <mergeCell ref="R28:T29"/>
    <mergeCell ref="R30:T31"/>
    <mergeCell ref="G22:Q23"/>
    <mergeCell ref="G24:Q25"/>
    <mergeCell ref="G26:Q27"/>
    <mergeCell ref="G28:Q29"/>
    <mergeCell ref="G30:Q31"/>
    <mergeCell ref="B26:F27"/>
    <mergeCell ref="A28:A29"/>
    <mergeCell ref="B28:F29"/>
    <mergeCell ref="A30:A31"/>
    <mergeCell ref="B30:F31"/>
    <mergeCell ref="R20:T21"/>
    <mergeCell ref="G20:Q21"/>
    <mergeCell ref="B22:F23"/>
    <mergeCell ref="A22:A23"/>
    <mergeCell ref="A24:A25"/>
    <mergeCell ref="B24:F25"/>
    <mergeCell ref="A26:A27"/>
    <mergeCell ref="P5:T7"/>
    <mergeCell ref="P8:T9"/>
    <mergeCell ref="P10:T15"/>
    <mergeCell ref="A3:T4"/>
    <mergeCell ref="A17:T18"/>
    <mergeCell ref="A20:F21"/>
    <mergeCell ref="K5:O7"/>
    <mergeCell ref="K8:O9"/>
    <mergeCell ref="K10:O15"/>
    <mergeCell ref="A1:D1"/>
    <mergeCell ref="A8:E9"/>
    <mergeCell ref="A10:E15"/>
    <mergeCell ref="A5:E7"/>
    <mergeCell ref="F5:J7"/>
    <mergeCell ref="F8:J9"/>
    <mergeCell ref="F10:J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F0440-6D14-4B48-82DC-31E5E3D9F8E3}">
  <dimension ref="A1:Q41"/>
  <sheetViews>
    <sheetView showGridLines="0" zoomScaleNormal="100" workbookViewId="0">
      <pane xSplit="3" ySplit="4" topLeftCell="D5" activePane="bottomRight" state="frozen"/>
      <selection pane="topRight" activeCell="D1" sqref="D1"/>
      <selection pane="bottomLeft" activeCell="A7" sqref="A7"/>
      <selection pane="bottomRight" activeCell="A3" sqref="A3:Q4"/>
    </sheetView>
  </sheetViews>
  <sheetFormatPr defaultRowHeight="15"/>
  <cols>
    <col min="4" max="4" width="9.5703125" bestFit="1" customWidth="1"/>
    <col min="5" max="5" width="11.42578125" bestFit="1" customWidth="1"/>
    <col min="6" max="6" width="9.5703125" bestFit="1" customWidth="1"/>
    <col min="7" max="7" width="10.5703125" bestFit="1" customWidth="1"/>
    <col min="11" max="11" width="10.5703125" bestFit="1" customWidth="1"/>
    <col min="15" max="15" width="11.28515625" bestFit="1" customWidth="1"/>
  </cols>
  <sheetData>
    <row r="1" spans="1:17" ht="24">
      <c r="A1" s="260" t="s">
        <v>339</v>
      </c>
      <c r="B1" s="260"/>
      <c r="C1" s="260"/>
      <c r="D1" s="260"/>
    </row>
    <row r="2" spans="1:17" ht="15.75" thickBot="1"/>
    <row r="3" spans="1:17" ht="19.5" customHeight="1" thickTop="1">
      <c r="A3" s="361" t="s">
        <v>365</v>
      </c>
      <c r="B3" s="361"/>
      <c r="C3" s="361"/>
      <c r="D3" s="342" t="s">
        <v>338</v>
      </c>
      <c r="E3" s="342"/>
      <c r="F3" s="342" t="s">
        <v>334</v>
      </c>
      <c r="G3" s="342"/>
      <c r="H3" s="342" t="s">
        <v>336</v>
      </c>
      <c r="I3" s="342"/>
      <c r="J3" s="342" t="s">
        <v>335</v>
      </c>
      <c r="K3" s="342"/>
      <c r="L3" s="342" t="s">
        <v>336</v>
      </c>
      <c r="M3" s="342"/>
      <c r="N3" s="342" t="s">
        <v>337</v>
      </c>
      <c r="O3" s="342"/>
      <c r="P3" s="342" t="s">
        <v>336</v>
      </c>
      <c r="Q3" s="343"/>
    </row>
    <row r="4" spans="1:17" ht="22.5" customHeight="1" thickBot="1">
      <c r="A4" s="351"/>
      <c r="B4" s="351"/>
      <c r="C4" s="351"/>
      <c r="D4" s="338"/>
      <c r="E4" s="338"/>
      <c r="F4" s="338"/>
      <c r="G4" s="338"/>
      <c r="H4" s="338" t="s">
        <v>336</v>
      </c>
      <c r="I4" s="338"/>
      <c r="J4" s="338"/>
      <c r="K4" s="338"/>
      <c r="L4" s="338" t="s">
        <v>336</v>
      </c>
      <c r="M4" s="338"/>
      <c r="N4" s="338"/>
      <c r="O4" s="338"/>
      <c r="P4" s="338" t="s">
        <v>336</v>
      </c>
      <c r="Q4" s="345"/>
    </row>
    <row r="5" spans="1:17">
      <c r="A5" s="316" t="s">
        <v>340</v>
      </c>
      <c r="B5" s="65"/>
      <c r="C5" s="65"/>
      <c r="D5" s="302"/>
      <c r="E5" s="302"/>
      <c r="F5" s="66"/>
      <c r="G5" s="66"/>
      <c r="H5" s="66"/>
      <c r="I5" s="66"/>
      <c r="J5" s="66"/>
      <c r="K5" s="66"/>
      <c r="L5" s="66"/>
      <c r="M5" s="66"/>
      <c r="N5" s="66"/>
      <c r="O5" s="66"/>
      <c r="P5" s="67"/>
      <c r="Q5" s="317"/>
    </row>
    <row r="6" spans="1:17">
      <c r="A6" s="318" t="s">
        <v>2</v>
      </c>
      <c r="B6" s="30"/>
      <c r="C6" s="30"/>
      <c r="D6" s="303">
        <v>6316261</v>
      </c>
      <c r="E6" s="303"/>
      <c r="F6" s="34">
        <v>5786016</v>
      </c>
      <c r="G6" s="34"/>
      <c r="H6" s="38">
        <f>(D6-F6)/F6</f>
        <v>9.1642504963691765E-2</v>
      </c>
      <c r="I6" s="38"/>
      <c r="J6" s="33">
        <v>4403589</v>
      </c>
      <c r="K6" s="33"/>
      <c r="L6" s="38">
        <f>(F6-J6)/J6</f>
        <v>0.3139318860138855</v>
      </c>
      <c r="M6" s="38"/>
      <c r="N6" s="33">
        <v>4095135</v>
      </c>
      <c r="O6" s="33"/>
      <c r="P6" s="39">
        <f>(J6-N6)/N6</f>
        <v>7.5322058979740592E-2</v>
      </c>
      <c r="Q6" s="319"/>
    </row>
    <row r="7" spans="1:17">
      <c r="A7" s="318" t="s">
        <v>4</v>
      </c>
      <c r="B7" s="30"/>
      <c r="C7" s="30"/>
      <c r="D7" s="303">
        <v>3697653</v>
      </c>
      <c r="E7" s="303"/>
      <c r="F7" s="31">
        <v>3337714</v>
      </c>
      <c r="G7" s="31"/>
      <c r="H7" s="38">
        <f>(D7-F7)/F7</f>
        <v>0.10783997670261743</v>
      </c>
      <c r="I7" s="38"/>
      <c r="J7" s="33">
        <v>2543954</v>
      </c>
      <c r="K7" s="33"/>
      <c r="L7" s="38">
        <f>(F7-J7)/J7</f>
        <v>0.31201822045524408</v>
      </c>
      <c r="M7" s="38"/>
      <c r="N7" s="33">
        <v>2435736</v>
      </c>
      <c r="O7" s="33"/>
      <c r="P7" s="39">
        <f>(J7-N7)/N7</f>
        <v>4.4429281334266109E-2</v>
      </c>
      <c r="Q7" s="319"/>
    </row>
    <row r="8" spans="1:17">
      <c r="A8" s="320" t="s">
        <v>265</v>
      </c>
      <c r="B8" s="37"/>
      <c r="C8" s="37"/>
      <c r="D8" s="304">
        <f>D7/D6</f>
        <v>0.58541801866642307</v>
      </c>
      <c r="E8" s="304"/>
      <c r="F8" s="40">
        <f>F7/F6</f>
        <v>0.57685875739023185</v>
      </c>
      <c r="G8" s="40"/>
      <c r="H8" s="40"/>
      <c r="I8" s="40"/>
      <c r="J8" s="40">
        <f>J7/J6</f>
        <v>0.57770014413243376</v>
      </c>
      <c r="K8" s="40"/>
      <c r="L8" s="40"/>
      <c r="M8" s="40"/>
      <c r="N8" s="40">
        <f>N7/N6</f>
        <v>0.59478771762103078</v>
      </c>
      <c r="O8" s="40"/>
      <c r="P8" s="32"/>
      <c r="Q8" s="321"/>
    </row>
    <row r="9" spans="1:17">
      <c r="A9" s="322" t="s">
        <v>5</v>
      </c>
      <c r="B9" s="36"/>
      <c r="C9" s="36"/>
      <c r="D9" s="303">
        <f>D6-D7</f>
        <v>2618608</v>
      </c>
      <c r="E9" s="303"/>
      <c r="F9" s="31">
        <f>F6-F7</f>
        <v>2448302</v>
      </c>
      <c r="G9" s="31"/>
      <c r="H9" s="35"/>
      <c r="I9" s="35"/>
      <c r="J9" s="33">
        <f>J6-J7</f>
        <v>1859635</v>
      </c>
      <c r="K9" s="33"/>
      <c r="L9" s="35"/>
      <c r="M9" s="35"/>
      <c r="N9" s="33">
        <f>N6-N7</f>
        <v>1659399</v>
      </c>
      <c r="O9" s="33"/>
      <c r="P9" s="32"/>
      <c r="Q9" s="321"/>
    </row>
    <row r="10" spans="1:17">
      <c r="A10" s="320" t="s">
        <v>212</v>
      </c>
      <c r="B10" s="37"/>
      <c r="C10" s="37"/>
      <c r="D10" s="304">
        <f>D9/D6</f>
        <v>0.41458198133357693</v>
      </c>
      <c r="E10" s="304">
        <f>D9/D6</f>
        <v>0.41458198133357693</v>
      </c>
      <c r="F10" s="40">
        <f>F9/F6</f>
        <v>0.4231412426097681</v>
      </c>
      <c r="G10" s="40">
        <f>F9/F6</f>
        <v>0.4231412426097681</v>
      </c>
      <c r="H10" s="40"/>
      <c r="I10" s="40"/>
      <c r="J10" s="40">
        <f>J9/J6</f>
        <v>0.42229985586756619</v>
      </c>
      <c r="K10" s="40">
        <f>J9/J6</f>
        <v>0.42229985586756619</v>
      </c>
      <c r="L10" s="40"/>
      <c r="M10" s="40"/>
      <c r="N10" s="40">
        <f>N9/N6</f>
        <v>0.40521228237896917</v>
      </c>
      <c r="O10" s="40">
        <f>N9/N6</f>
        <v>0.40521228237896917</v>
      </c>
      <c r="P10" s="32"/>
      <c r="Q10" s="321"/>
    </row>
    <row r="11" spans="1:17" ht="15" customHeight="1">
      <c r="A11" s="322" t="s">
        <v>6</v>
      </c>
      <c r="B11" s="36"/>
      <c r="C11" s="36"/>
      <c r="D11" s="303">
        <v>2806982</v>
      </c>
      <c r="E11" s="303"/>
      <c r="F11" s="31">
        <v>2567214</v>
      </c>
      <c r="G11" s="31"/>
      <c r="H11" s="35"/>
      <c r="I11" s="35"/>
      <c r="J11" s="33">
        <v>2335239</v>
      </c>
      <c r="K11" s="33"/>
      <c r="L11" s="35"/>
      <c r="M11" s="35"/>
      <c r="N11" s="33">
        <v>3118315</v>
      </c>
      <c r="O11" s="33"/>
      <c r="P11" s="32"/>
      <c r="Q11" s="321"/>
    </row>
    <row r="12" spans="1:17" ht="15" customHeight="1">
      <c r="A12" s="320" t="s">
        <v>268</v>
      </c>
      <c r="B12" s="37"/>
      <c r="C12" s="37"/>
      <c r="D12" s="304">
        <f>D11/D6</f>
        <v>0.44440563808240352</v>
      </c>
      <c r="E12" s="304"/>
      <c r="F12" s="40">
        <f>F11/F6</f>
        <v>0.44369286223888771</v>
      </c>
      <c r="G12" s="40"/>
      <c r="H12" s="40"/>
      <c r="I12" s="40"/>
      <c r="J12" s="40">
        <f>J11/J6</f>
        <v>0.53030357737745282</v>
      </c>
      <c r="K12" s="40"/>
      <c r="L12" s="40"/>
      <c r="M12" s="40"/>
      <c r="N12" s="40">
        <f>N11/N6</f>
        <v>0.76146818114665327</v>
      </c>
      <c r="O12" s="40"/>
      <c r="P12" s="32"/>
      <c r="Q12" s="321"/>
    </row>
    <row r="13" spans="1:17">
      <c r="A13" s="322" t="s">
        <v>48</v>
      </c>
      <c r="B13" s="36"/>
      <c r="C13" s="36"/>
      <c r="D13" s="303">
        <v>102735</v>
      </c>
      <c r="E13" s="303">
        <v>102735</v>
      </c>
      <c r="F13" s="31">
        <v>203163</v>
      </c>
      <c r="G13" s="31">
        <v>203163</v>
      </c>
      <c r="H13" s="35"/>
      <c r="I13" s="35"/>
      <c r="J13" s="33">
        <v>-188968</v>
      </c>
      <c r="K13" s="33">
        <v>-188968</v>
      </c>
      <c r="L13" s="35"/>
      <c r="M13" s="35"/>
      <c r="N13" s="33">
        <v>-1404106</v>
      </c>
      <c r="O13" s="33">
        <v>-1404106</v>
      </c>
      <c r="P13" s="32"/>
      <c r="Q13" s="321"/>
    </row>
    <row r="14" spans="1:17">
      <c r="A14" s="320" t="s">
        <v>216</v>
      </c>
      <c r="B14" s="37"/>
      <c r="C14" s="37"/>
      <c r="D14" s="304">
        <f>D13/D6</f>
        <v>1.6265160670212962E-2</v>
      </c>
      <c r="E14" s="304"/>
      <c r="F14" s="40">
        <f>F13/F6</f>
        <v>3.511276152710259E-2</v>
      </c>
      <c r="G14" s="40"/>
      <c r="H14" s="40"/>
      <c r="I14" s="40"/>
      <c r="J14" s="40">
        <f>J13/J6</f>
        <v>-4.29122699688822E-2</v>
      </c>
      <c r="K14" s="40"/>
      <c r="L14" s="40"/>
      <c r="M14" s="40"/>
      <c r="N14" s="40">
        <f>N13/N6</f>
        <v>-0.3428717246195791</v>
      </c>
      <c r="O14" s="40"/>
      <c r="P14" s="32"/>
      <c r="Q14" s="321"/>
    </row>
    <row r="15" spans="1:17">
      <c r="A15" s="322" t="s">
        <v>267</v>
      </c>
      <c r="B15" s="36"/>
      <c r="C15" s="36"/>
      <c r="D15" s="303">
        <v>-188374</v>
      </c>
      <c r="E15" s="303"/>
      <c r="F15" s="31">
        <v>-118912</v>
      </c>
      <c r="G15" s="31"/>
      <c r="H15" s="35"/>
      <c r="I15" s="35"/>
      <c r="J15" s="33">
        <v>-475604</v>
      </c>
      <c r="K15" s="33"/>
      <c r="L15" s="35"/>
      <c r="M15" s="35"/>
      <c r="N15" s="33">
        <v>-1458916</v>
      </c>
      <c r="O15" s="33"/>
      <c r="P15" s="32"/>
      <c r="Q15" s="321"/>
    </row>
    <row r="16" spans="1:17">
      <c r="A16" s="320" t="s">
        <v>266</v>
      </c>
      <c r="B16" s="37"/>
      <c r="C16" s="37"/>
      <c r="D16" s="304">
        <f>D15/D6</f>
        <v>-2.982365674882656E-2</v>
      </c>
      <c r="E16" s="304"/>
      <c r="F16" s="40">
        <f>F15/F6</f>
        <v>-2.0551619629119586E-2</v>
      </c>
      <c r="G16" s="40"/>
      <c r="H16" s="40"/>
      <c r="I16" s="40"/>
      <c r="J16" s="40">
        <f>J15/J6</f>
        <v>-0.10800372150988659</v>
      </c>
      <c r="K16" s="40"/>
      <c r="L16" s="40"/>
      <c r="M16" s="40"/>
      <c r="N16" s="40">
        <f>N15/N6</f>
        <v>-0.3562558987676841</v>
      </c>
      <c r="O16" s="40"/>
      <c r="P16" s="32"/>
      <c r="Q16" s="321"/>
    </row>
    <row r="17" spans="1:17">
      <c r="A17" s="322" t="s">
        <v>139</v>
      </c>
      <c r="B17" s="36"/>
      <c r="C17" s="36"/>
      <c r="D17" s="303">
        <v>1168438</v>
      </c>
      <c r="E17" s="303"/>
      <c r="F17" s="31">
        <v>849737</v>
      </c>
      <c r="G17" s="31"/>
      <c r="H17" s="35"/>
      <c r="I17" s="35"/>
      <c r="J17" s="33">
        <v>-98244</v>
      </c>
      <c r="K17" s="33"/>
      <c r="L17" s="35"/>
      <c r="M17" s="35"/>
      <c r="N17" s="33">
        <v>-237285</v>
      </c>
      <c r="O17" s="33"/>
      <c r="P17" s="32"/>
      <c r="Q17" s="321"/>
    </row>
    <row r="18" spans="1:17">
      <c r="A18" s="322" t="s">
        <v>264</v>
      </c>
      <c r="B18" s="36"/>
      <c r="C18" s="36"/>
      <c r="D18" s="303">
        <v>135227</v>
      </c>
      <c r="E18" s="303"/>
      <c r="F18" s="31">
        <v>148892</v>
      </c>
      <c r="G18" s="31"/>
      <c r="H18" s="35"/>
      <c r="I18" s="35"/>
      <c r="J18" s="33">
        <v>116513</v>
      </c>
      <c r="K18" s="33"/>
      <c r="L18" s="35"/>
      <c r="M18" s="35"/>
      <c r="N18" s="33">
        <v>154798</v>
      </c>
      <c r="O18" s="33"/>
      <c r="P18" s="32"/>
      <c r="Q18" s="321"/>
    </row>
    <row r="19" spans="1:17">
      <c r="A19" s="320" t="s">
        <v>273</v>
      </c>
      <c r="B19" s="37"/>
      <c r="C19" s="37"/>
      <c r="D19" s="304">
        <f>D18/D6</f>
        <v>2.1409343280779564E-2</v>
      </c>
      <c r="E19" s="304"/>
      <c r="F19" s="40">
        <f>F18/F6</f>
        <v>2.5733077820731916E-2</v>
      </c>
      <c r="G19" s="40"/>
      <c r="H19" s="40"/>
      <c r="I19" s="40"/>
      <c r="J19" s="40">
        <f>J18/J6</f>
        <v>2.645864543671083E-2</v>
      </c>
      <c r="K19" s="40"/>
      <c r="L19" s="40"/>
      <c r="M19" s="40"/>
      <c r="N19" s="40">
        <f>N18/N6</f>
        <v>3.7800463232591841E-2</v>
      </c>
      <c r="O19" s="40"/>
      <c r="P19" s="32"/>
      <c r="Q19" s="321"/>
    </row>
    <row r="20" spans="1:17">
      <c r="A20" s="322" t="s">
        <v>248</v>
      </c>
      <c r="B20" s="36"/>
      <c r="C20" s="36"/>
      <c r="D20" s="303">
        <v>-52822</v>
      </c>
      <c r="E20" s="303"/>
      <c r="F20" s="31">
        <v>-83470</v>
      </c>
      <c r="G20" s="31"/>
      <c r="H20" s="35"/>
      <c r="I20" s="35"/>
      <c r="J20" s="33">
        <v>-149819</v>
      </c>
      <c r="K20" s="33"/>
      <c r="L20" s="35"/>
      <c r="M20" s="35"/>
      <c r="N20" s="33">
        <v>-114970</v>
      </c>
      <c r="O20" s="33"/>
      <c r="P20" s="32"/>
      <c r="Q20" s="321"/>
    </row>
    <row r="21" spans="1:17">
      <c r="A21" s="320" t="s">
        <v>262</v>
      </c>
      <c r="B21" s="37"/>
      <c r="C21" s="37"/>
      <c r="D21" s="304">
        <f>D20/D6</f>
        <v>-8.3628589762202669E-3</v>
      </c>
      <c r="E21" s="304"/>
      <c r="F21" s="40">
        <f>F20/F6</f>
        <v>-1.4426161282651137E-2</v>
      </c>
      <c r="G21" s="40"/>
      <c r="H21" s="40"/>
      <c r="I21" s="40"/>
      <c r="J21" s="40">
        <f>J20/J6</f>
        <v>-3.402202158284981E-2</v>
      </c>
      <c r="K21" s="40"/>
      <c r="L21" s="40"/>
      <c r="M21" s="40"/>
      <c r="N21" s="40">
        <f>N20/N6</f>
        <v>-2.8074776533618551E-2</v>
      </c>
      <c r="O21" s="40"/>
      <c r="P21" s="32"/>
      <c r="Q21" s="321"/>
    </row>
    <row r="22" spans="1:17">
      <c r="A22" s="322" t="s">
        <v>198</v>
      </c>
      <c r="B22" s="36"/>
      <c r="C22" s="36"/>
      <c r="D22" s="303">
        <v>1115616</v>
      </c>
      <c r="E22" s="303"/>
      <c r="F22" s="31">
        <v>766267</v>
      </c>
      <c r="G22" s="31"/>
      <c r="H22" s="35"/>
      <c r="I22" s="35"/>
      <c r="J22" s="33">
        <v>-248063</v>
      </c>
      <c r="K22" s="33"/>
      <c r="L22" s="35"/>
      <c r="M22" s="35"/>
      <c r="N22" s="33">
        <v>-352255</v>
      </c>
      <c r="O22" s="33"/>
      <c r="P22" s="32"/>
      <c r="Q22" s="321"/>
    </row>
    <row r="23" spans="1:17">
      <c r="A23" s="320" t="s">
        <v>272</v>
      </c>
      <c r="B23" s="37"/>
      <c r="C23" s="37"/>
      <c r="D23" s="304">
        <f>D22/D6</f>
        <v>0.17662601339621653</v>
      </c>
      <c r="E23" s="304"/>
      <c r="F23" s="40">
        <f>F22/F6</f>
        <v>0.13243430367285539</v>
      </c>
      <c r="G23" s="40"/>
      <c r="H23" s="40"/>
      <c r="I23" s="40"/>
      <c r="J23" s="40">
        <f>J22/J6</f>
        <v>-5.6332005552743453E-2</v>
      </c>
      <c r="K23" s="40"/>
      <c r="L23" s="40"/>
      <c r="M23" s="40"/>
      <c r="N23" s="40">
        <f>N22/N6</f>
        <v>-8.6017921265110917E-2</v>
      </c>
      <c r="O23" s="40"/>
      <c r="P23" s="32"/>
      <c r="Q23" s="321"/>
    </row>
    <row r="24" spans="1:17">
      <c r="A24" s="318" t="s">
        <v>249</v>
      </c>
      <c r="B24" s="30"/>
      <c r="C24" s="30"/>
      <c r="D24" s="303">
        <v>1132009</v>
      </c>
      <c r="E24" s="303"/>
      <c r="F24" s="31">
        <v>759319</v>
      </c>
      <c r="G24" s="31"/>
      <c r="H24" s="38"/>
      <c r="I24" s="38"/>
      <c r="J24" s="33">
        <v>558636</v>
      </c>
      <c r="K24" s="33"/>
      <c r="L24" s="38"/>
      <c r="M24" s="38"/>
      <c r="N24" s="33">
        <v>281090</v>
      </c>
      <c r="O24" s="33"/>
      <c r="P24" s="39"/>
      <c r="Q24" s="319"/>
    </row>
    <row r="25" spans="1:17">
      <c r="A25" s="318" t="s">
        <v>136</v>
      </c>
      <c r="B25" s="30"/>
      <c r="C25" s="30"/>
      <c r="D25" s="303">
        <v>0</v>
      </c>
      <c r="E25" s="303"/>
      <c r="F25" s="31">
        <v>235728</v>
      </c>
      <c r="G25" s="31"/>
      <c r="H25" s="38"/>
      <c r="I25" s="38"/>
      <c r="J25" s="33">
        <v>306524</v>
      </c>
      <c r="K25" s="33"/>
      <c r="L25" s="38"/>
      <c r="M25" s="38"/>
      <c r="N25" s="33">
        <v>558404</v>
      </c>
      <c r="O25" s="33"/>
      <c r="P25" s="39"/>
      <c r="Q25" s="319"/>
    </row>
    <row r="26" spans="1:17">
      <c r="A26" s="322" t="s">
        <v>30</v>
      </c>
      <c r="B26" s="36"/>
      <c r="C26" s="36"/>
      <c r="D26" s="303">
        <v>2844008</v>
      </c>
      <c r="E26" s="303"/>
      <c r="F26" s="31">
        <v>22784</v>
      </c>
      <c r="G26" s="31"/>
      <c r="H26" s="35"/>
      <c r="I26" s="35"/>
      <c r="J26" s="33">
        <v>-340320</v>
      </c>
      <c r="K26" s="33"/>
      <c r="L26" s="35"/>
      <c r="M26" s="35"/>
      <c r="N26" s="33">
        <v>-1584511</v>
      </c>
      <c r="O26" s="33"/>
      <c r="P26" s="32"/>
      <c r="Q26" s="321"/>
    </row>
    <row r="27" spans="1:17" ht="15" customHeight="1">
      <c r="A27" s="320" t="s">
        <v>269</v>
      </c>
      <c r="B27" s="37"/>
      <c r="C27" s="37"/>
      <c r="D27" s="304">
        <f>D26/D6</f>
        <v>0.45026765043433131</v>
      </c>
      <c r="E27" s="304"/>
      <c r="F27" s="40">
        <f>F26/F6</f>
        <v>3.9377699612306635E-3</v>
      </c>
      <c r="G27" s="40"/>
      <c r="H27" s="40"/>
      <c r="I27" s="40"/>
      <c r="J27" s="40">
        <f>J26/J6</f>
        <v>-7.7282416683300825E-2</v>
      </c>
      <c r="K27" s="40"/>
      <c r="L27" s="40"/>
      <c r="M27" s="40"/>
      <c r="N27" s="40">
        <f>N26/N6</f>
        <v>-0.38692521736157659</v>
      </c>
      <c r="O27" s="40"/>
      <c r="P27" s="32"/>
      <c r="Q27" s="321"/>
    </row>
    <row r="28" spans="1:17" ht="15.75" thickBot="1">
      <c r="A28" s="323"/>
      <c r="B28" s="310"/>
      <c r="C28" s="310"/>
      <c r="D28" s="310"/>
      <c r="E28" s="310"/>
      <c r="F28" s="310"/>
      <c r="G28" s="310"/>
      <c r="H28" s="310"/>
      <c r="I28" s="310"/>
      <c r="J28" s="310"/>
      <c r="K28" s="310"/>
      <c r="L28" s="310"/>
      <c r="M28" s="310"/>
      <c r="N28" s="310"/>
      <c r="O28" s="310"/>
      <c r="P28" s="310"/>
      <c r="Q28" s="324"/>
    </row>
    <row r="29" spans="1:17">
      <c r="A29" s="325" t="s">
        <v>27</v>
      </c>
      <c r="B29" s="85"/>
      <c r="C29" s="85"/>
      <c r="D29" s="311">
        <v>-2897255</v>
      </c>
      <c r="E29" s="311">
        <v>-2897255</v>
      </c>
      <c r="F29" s="305">
        <v>2566</v>
      </c>
      <c r="G29" s="305">
        <v>2566</v>
      </c>
      <c r="H29" s="306"/>
      <c r="I29" s="306"/>
      <c r="J29" s="34">
        <v>8616</v>
      </c>
      <c r="K29" s="34">
        <v>8616</v>
      </c>
      <c r="L29" s="306"/>
      <c r="M29" s="306"/>
      <c r="N29" s="34">
        <v>5872</v>
      </c>
      <c r="O29" s="34">
        <v>5872</v>
      </c>
      <c r="P29" s="307"/>
      <c r="Q29" s="326"/>
    </row>
    <row r="30" spans="1:17">
      <c r="A30" s="318" t="s">
        <v>26</v>
      </c>
      <c r="B30" s="30"/>
      <c r="C30" s="30"/>
      <c r="D30" s="303">
        <v>-53247</v>
      </c>
      <c r="E30" s="303">
        <v>-53247</v>
      </c>
      <c r="F30" s="31">
        <v>25350</v>
      </c>
      <c r="G30" s="31">
        <v>25350</v>
      </c>
      <c r="H30" s="38"/>
      <c r="I30" s="38"/>
      <c r="J30" s="33">
        <v>-331704</v>
      </c>
      <c r="K30" s="33">
        <v>-331704</v>
      </c>
      <c r="L30" s="38"/>
      <c r="M30" s="38"/>
      <c r="N30" s="33">
        <v>-1578639</v>
      </c>
      <c r="O30" s="33">
        <v>-1578639</v>
      </c>
      <c r="P30" s="39"/>
      <c r="Q30" s="319"/>
    </row>
    <row r="31" spans="1:17" ht="15.75" thickBot="1">
      <c r="A31" s="323"/>
      <c r="B31" s="310"/>
      <c r="C31" s="310"/>
      <c r="D31" s="310"/>
      <c r="E31" s="310"/>
      <c r="F31" s="310"/>
      <c r="G31" s="310"/>
      <c r="H31" s="310"/>
      <c r="I31" s="310"/>
      <c r="J31" s="310"/>
      <c r="K31" s="310"/>
      <c r="L31" s="310"/>
      <c r="M31" s="310"/>
      <c r="N31" s="310"/>
      <c r="O31" s="310"/>
      <c r="P31" s="310"/>
      <c r="Q31" s="324"/>
    </row>
    <row r="32" spans="1:17" ht="15" customHeight="1">
      <c r="A32" s="325" t="s">
        <v>61</v>
      </c>
      <c r="B32" s="85"/>
      <c r="C32" s="85"/>
      <c r="D32" s="311">
        <v>2919515</v>
      </c>
      <c r="E32" s="311"/>
      <c r="F32" s="305">
        <v>2950533</v>
      </c>
      <c r="G32" s="305"/>
      <c r="H32" s="306"/>
      <c r="I32" s="306"/>
      <c r="J32" s="34">
        <v>2577419</v>
      </c>
      <c r="K32" s="34"/>
      <c r="L32" s="306"/>
      <c r="M32" s="306"/>
      <c r="N32" s="34">
        <v>2582859</v>
      </c>
      <c r="O32" s="34"/>
      <c r="P32" s="307"/>
      <c r="Q32" s="326"/>
    </row>
    <row r="33" spans="1:17" ht="15" customHeight="1">
      <c r="A33" s="318" t="s">
        <v>97</v>
      </c>
      <c r="B33" s="30"/>
      <c r="C33" s="30"/>
      <c r="D33" s="303">
        <v>4525821</v>
      </c>
      <c r="E33" s="303"/>
      <c r="F33" s="31">
        <v>3880742</v>
      </c>
      <c r="G33" s="31"/>
      <c r="H33" s="38"/>
      <c r="I33" s="38"/>
      <c r="J33" s="33">
        <v>2961561</v>
      </c>
      <c r="K33" s="33"/>
      <c r="L33" s="38"/>
      <c r="M33" s="38"/>
      <c r="N33" s="33">
        <v>3132563</v>
      </c>
      <c r="O33" s="33"/>
      <c r="P33" s="39"/>
      <c r="Q33" s="319"/>
    </row>
    <row r="34" spans="1:17" ht="15.75" thickBot="1">
      <c r="A34" s="323"/>
      <c r="B34" s="310"/>
      <c r="C34" s="310"/>
      <c r="D34" s="310"/>
      <c r="E34" s="310"/>
      <c r="F34" s="310"/>
      <c r="G34" s="310"/>
      <c r="H34" s="310"/>
      <c r="I34" s="310"/>
      <c r="J34" s="310"/>
      <c r="K34" s="310"/>
      <c r="L34" s="310"/>
      <c r="M34" s="310"/>
      <c r="N34" s="310"/>
      <c r="O34" s="310"/>
      <c r="P34" s="310"/>
      <c r="Q34" s="324"/>
    </row>
    <row r="35" spans="1:17" ht="15" customHeight="1">
      <c r="A35" s="327" t="s">
        <v>341</v>
      </c>
      <c r="B35" s="308"/>
      <c r="C35" s="308"/>
      <c r="D35" s="311">
        <f>D32-D33</f>
        <v>-1606306</v>
      </c>
      <c r="E35" s="311"/>
      <c r="F35" s="309">
        <f t="shared" ref="F35:Q35" si="0">F32-F33</f>
        <v>-930209</v>
      </c>
      <c r="G35" s="309"/>
      <c r="H35" s="309"/>
      <c r="I35" s="309"/>
      <c r="J35" s="309">
        <f>J32-J33</f>
        <v>-384142</v>
      </c>
      <c r="K35" s="309"/>
      <c r="L35" s="309"/>
      <c r="M35" s="309"/>
      <c r="N35" s="309">
        <f t="shared" ref="N35" si="1">N32-N33</f>
        <v>-549704</v>
      </c>
      <c r="O35" s="309"/>
      <c r="P35" s="309"/>
      <c r="Q35" s="328"/>
    </row>
    <row r="36" spans="1:17">
      <c r="A36" s="329" t="s">
        <v>271</v>
      </c>
      <c r="B36" s="42"/>
      <c r="C36" s="42"/>
      <c r="D36" s="312">
        <f>D35-F35</f>
        <v>-676097</v>
      </c>
      <c r="E36" s="313"/>
      <c r="F36" s="45">
        <f>F35-J35</f>
        <v>-546067</v>
      </c>
      <c r="G36" s="43"/>
      <c r="H36" s="43"/>
      <c r="I36" s="43"/>
      <c r="J36" s="45">
        <f>J35-N35</f>
        <v>165562</v>
      </c>
      <c r="K36" s="43"/>
      <c r="L36" s="43"/>
      <c r="M36" s="43"/>
      <c r="N36" s="45"/>
      <c r="O36" s="43"/>
      <c r="P36" s="44"/>
      <c r="Q36" s="330"/>
    </row>
    <row r="37" spans="1:17">
      <c r="A37" s="320" t="s">
        <v>342</v>
      </c>
      <c r="B37" s="37"/>
      <c r="C37" s="37"/>
      <c r="D37" s="304">
        <f>D36/D6</f>
        <v>-0.10704070018639192</v>
      </c>
      <c r="E37" s="304"/>
      <c r="F37" s="40">
        <f>F36/F6</f>
        <v>-9.4377029029992315E-2</v>
      </c>
      <c r="G37" s="40"/>
      <c r="H37" s="40"/>
      <c r="I37" s="40"/>
      <c r="J37" s="40">
        <f>J36/J6</f>
        <v>3.7597060034440091E-2</v>
      </c>
      <c r="K37" s="40"/>
      <c r="L37" s="40"/>
      <c r="M37" s="40"/>
      <c r="N37" s="40"/>
      <c r="O37" s="40"/>
      <c r="P37" s="32"/>
      <c r="Q37" s="321"/>
    </row>
    <row r="38" spans="1:17" ht="15.75" thickBot="1">
      <c r="A38" s="323"/>
      <c r="B38" s="310"/>
      <c r="C38" s="310"/>
      <c r="D38" s="310"/>
      <c r="E38" s="310"/>
      <c r="F38" s="310"/>
      <c r="G38" s="310"/>
      <c r="H38" s="310"/>
      <c r="I38" s="310"/>
      <c r="J38" s="310"/>
      <c r="K38" s="310"/>
      <c r="L38" s="310"/>
      <c r="M38" s="310"/>
      <c r="N38" s="310"/>
      <c r="O38" s="310"/>
      <c r="P38" s="310"/>
      <c r="Q38" s="324"/>
    </row>
    <row r="39" spans="1:17">
      <c r="A39" s="327" t="s">
        <v>232</v>
      </c>
      <c r="B39" s="308"/>
      <c r="C39" s="308"/>
      <c r="D39" s="315">
        <f>D32/D33</f>
        <v>0.64507964411318963</v>
      </c>
      <c r="E39" s="315"/>
      <c r="F39" s="314">
        <f t="shared" ref="F39:Q39" si="2">F32/F33</f>
        <v>0.76030125166785112</v>
      </c>
      <c r="G39" s="314"/>
      <c r="H39" s="314"/>
      <c r="I39" s="314"/>
      <c r="J39" s="314">
        <f t="shared" ref="J39:Q39" si="3">J32/J33</f>
        <v>0.87029070142401255</v>
      </c>
      <c r="K39" s="314"/>
      <c r="L39" s="314"/>
      <c r="M39" s="314"/>
      <c r="N39" s="314">
        <f t="shared" ref="N39:Q39" si="4">N32/N33</f>
        <v>0.82451941110202731</v>
      </c>
      <c r="O39" s="314"/>
      <c r="P39" s="314"/>
      <c r="Q39" s="331"/>
    </row>
    <row r="40" spans="1:17" ht="15.75" thickBot="1">
      <c r="A40" s="332" t="s">
        <v>234</v>
      </c>
      <c r="B40" s="333"/>
      <c r="C40" s="333"/>
      <c r="D40" s="334">
        <f>D24/D33</f>
        <v>0.25012235349122292</v>
      </c>
      <c r="E40" s="334"/>
      <c r="F40" s="335">
        <f>F24/F33</f>
        <v>0.19566335510064828</v>
      </c>
      <c r="G40" s="335"/>
      <c r="H40" s="335"/>
      <c r="I40" s="335"/>
      <c r="J40" s="335">
        <f t="shared" ref="J40:Q40" si="5">J24/J33</f>
        <v>0.18862890212290073</v>
      </c>
      <c r="K40" s="335"/>
      <c r="L40" s="335"/>
      <c r="M40" s="335"/>
      <c r="N40" s="335">
        <f t="shared" ref="N40:Q40" si="6">N24/N33</f>
        <v>8.9731635086030187E-2</v>
      </c>
      <c r="O40" s="335"/>
      <c r="P40" s="335"/>
      <c r="Q40" s="336"/>
    </row>
    <row r="41" spans="1:17" ht="15.75" thickTop="1"/>
  </sheetData>
  <mergeCells count="265">
    <mergeCell ref="H3:I4"/>
    <mergeCell ref="J3:K4"/>
    <mergeCell ref="L3:M4"/>
    <mergeCell ref="N3:O4"/>
    <mergeCell ref="P3:Q4"/>
    <mergeCell ref="L40:M40"/>
    <mergeCell ref="N40:O40"/>
    <mergeCell ref="P40:Q40"/>
    <mergeCell ref="A40:C40"/>
    <mergeCell ref="D40:E40"/>
    <mergeCell ref="F40:G40"/>
    <mergeCell ref="H40:I40"/>
    <mergeCell ref="J40:K40"/>
    <mergeCell ref="N37:O37"/>
    <mergeCell ref="P37:Q37"/>
    <mergeCell ref="A39:C39"/>
    <mergeCell ref="D39:E39"/>
    <mergeCell ref="F39:G39"/>
    <mergeCell ref="H39:I39"/>
    <mergeCell ref="J39:K39"/>
    <mergeCell ref="L39:M39"/>
    <mergeCell ref="N39:O39"/>
    <mergeCell ref="P39:Q39"/>
    <mergeCell ref="A37:C37"/>
    <mergeCell ref="D37:E37"/>
    <mergeCell ref="F37:G37"/>
    <mergeCell ref="H37:I37"/>
    <mergeCell ref="J37:K37"/>
    <mergeCell ref="L37:M37"/>
    <mergeCell ref="N35:O35"/>
    <mergeCell ref="P35:Q35"/>
    <mergeCell ref="A36:C36"/>
    <mergeCell ref="D36:E36"/>
    <mergeCell ref="F36:G36"/>
    <mergeCell ref="H36:I36"/>
    <mergeCell ref="J36:K36"/>
    <mergeCell ref="L36:M36"/>
    <mergeCell ref="N36:O36"/>
    <mergeCell ref="P36:Q36"/>
    <mergeCell ref="A35:C35"/>
    <mergeCell ref="D35:E35"/>
    <mergeCell ref="F35:G35"/>
    <mergeCell ref="H35:I35"/>
    <mergeCell ref="J35:K35"/>
    <mergeCell ref="L35:M35"/>
    <mergeCell ref="N8:O8"/>
    <mergeCell ref="P8:Q8"/>
    <mergeCell ref="H33:I33"/>
    <mergeCell ref="J33:K33"/>
    <mergeCell ref="L33:M33"/>
    <mergeCell ref="N33:O33"/>
    <mergeCell ref="A8:C8"/>
    <mergeCell ref="D8:E8"/>
    <mergeCell ref="F8:G8"/>
    <mergeCell ref="H8:I8"/>
    <mergeCell ref="J8:K8"/>
    <mergeCell ref="L8:M8"/>
    <mergeCell ref="D32:E32"/>
    <mergeCell ref="F32:G32"/>
    <mergeCell ref="H32:I32"/>
    <mergeCell ref="J32:K32"/>
    <mergeCell ref="L32:M32"/>
    <mergeCell ref="N32:O32"/>
    <mergeCell ref="D33:E33"/>
    <mergeCell ref="F33:G33"/>
    <mergeCell ref="A33:C33"/>
    <mergeCell ref="P33:Q33"/>
    <mergeCell ref="A32:C32"/>
    <mergeCell ref="P32:Q32"/>
    <mergeCell ref="P29:Q29"/>
    <mergeCell ref="A30:C30"/>
    <mergeCell ref="D30:E30"/>
    <mergeCell ref="F30:G30"/>
    <mergeCell ref="H30:I30"/>
    <mergeCell ref="J30:K30"/>
    <mergeCell ref="L30:M30"/>
    <mergeCell ref="N30:O30"/>
    <mergeCell ref="P30:Q30"/>
    <mergeCell ref="N27:O27"/>
    <mergeCell ref="P27:Q27"/>
    <mergeCell ref="A29:C29"/>
    <mergeCell ref="D29:E29"/>
    <mergeCell ref="F29:G29"/>
    <mergeCell ref="H29:I29"/>
    <mergeCell ref="J29:K29"/>
    <mergeCell ref="L29:M29"/>
    <mergeCell ref="N29:O29"/>
    <mergeCell ref="A27:C27"/>
    <mergeCell ref="D27:E27"/>
    <mergeCell ref="F27:G27"/>
    <mergeCell ref="H27:I27"/>
    <mergeCell ref="J27:K27"/>
    <mergeCell ref="L27:M27"/>
    <mergeCell ref="N25:O25"/>
    <mergeCell ref="P25:Q25"/>
    <mergeCell ref="A26:C26"/>
    <mergeCell ref="D26:E26"/>
    <mergeCell ref="F26:G26"/>
    <mergeCell ref="H26:I26"/>
    <mergeCell ref="J26:K26"/>
    <mergeCell ref="L26:M26"/>
    <mergeCell ref="N26:O26"/>
    <mergeCell ref="P26:Q26"/>
    <mergeCell ref="A25:C25"/>
    <mergeCell ref="D25:E25"/>
    <mergeCell ref="F25:G25"/>
    <mergeCell ref="H25:I25"/>
    <mergeCell ref="J25:K25"/>
    <mergeCell ref="L25:M25"/>
    <mergeCell ref="N23:O23"/>
    <mergeCell ref="P23:Q23"/>
    <mergeCell ref="A24:C24"/>
    <mergeCell ref="D24:E24"/>
    <mergeCell ref="F24:G24"/>
    <mergeCell ref="H24:I24"/>
    <mergeCell ref="J24:K24"/>
    <mergeCell ref="L24:M24"/>
    <mergeCell ref="N24:O24"/>
    <mergeCell ref="P24:Q24"/>
    <mergeCell ref="A23:C23"/>
    <mergeCell ref="D23:E23"/>
    <mergeCell ref="F23:G23"/>
    <mergeCell ref="H23:I23"/>
    <mergeCell ref="J23:K23"/>
    <mergeCell ref="L23:M23"/>
    <mergeCell ref="N21:O21"/>
    <mergeCell ref="P21:Q21"/>
    <mergeCell ref="A22:C22"/>
    <mergeCell ref="D22:E22"/>
    <mergeCell ref="F22:G22"/>
    <mergeCell ref="H22:I22"/>
    <mergeCell ref="J22:K22"/>
    <mergeCell ref="L22:M22"/>
    <mergeCell ref="N22:O22"/>
    <mergeCell ref="P22:Q22"/>
    <mergeCell ref="A21:C21"/>
    <mergeCell ref="D21:E21"/>
    <mergeCell ref="F21:G21"/>
    <mergeCell ref="H21:I21"/>
    <mergeCell ref="J21:K21"/>
    <mergeCell ref="L21:M21"/>
    <mergeCell ref="N19:O19"/>
    <mergeCell ref="P19:Q19"/>
    <mergeCell ref="A20:C20"/>
    <mergeCell ref="D20:E20"/>
    <mergeCell ref="F20:G20"/>
    <mergeCell ref="H20:I20"/>
    <mergeCell ref="J20:K20"/>
    <mergeCell ref="L20:M20"/>
    <mergeCell ref="N20:O20"/>
    <mergeCell ref="P20:Q20"/>
    <mergeCell ref="A19:C19"/>
    <mergeCell ref="D19:E19"/>
    <mergeCell ref="F19:G19"/>
    <mergeCell ref="H19:I19"/>
    <mergeCell ref="J19:K19"/>
    <mergeCell ref="L19:M19"/>
    <mergeCell ref="P17:Q17"/>
    <mergeCell ref="A18:C18"/>
    <mergeCell ref="D18:E18"/>
    <mergeCell ref="F18:G18"/>
    <mergeCell ref="H18:I18"/>
    <mergeCell ref="J18:K18"/>
    <mergeCell ref="L18:M18"/>
    <mergeCell ref="N18:O18"/>
    <mergeCell ref="P18:Q18"/>
    <mergeCell ref="P16:Q16"/>
    <mergeCell ref="P15:Q15"/>
    <mergeCell ref="A17:C17"/>
    <mergeCell ref="D17:E17"/>
    <mergeCell ref="F17:G17"/>
    <mergeCell ref="H17:I17"/>
    <mergeCell ref="J17:K17"/>
    <mergeCell ref="L17:M17"/>
    <mergeCell ref="N17:O17"/>
    <mergeCell ref="N15:O15"/>
    <mergeCell ref="A16:C16"/>
    <mergeCell ref="D16:E16"/>
    <mergeCell ref="F16:G16"/>
    <mergeCell ref="H16:I16"/>
    <mergeCell ref="J16:K16"/>
    <mergeCell ref="L16:M16"/>
    <mergeCell ref="N16:O16"/>
    <mergeCell ref="A15:C15"/>
    <mergeCell ref="D15:E15"/>
    <mergeCell ref="F15:G15"/>
    <mergeCell ref="H15:I15"/>
    <mergeCell ref="J15:K15"/>
    <mergeCell ref="L15:M15"/>
    <mergeCell ref="N13:O13"/>
    <mergeCell ref="P13:Q13"/>
    <mergeCell ref="A14:C14"/>
    <mergeCell ref="D14:E14"/>
    <mergeCell ref="F14:G14"/>
    <mergeCell ref="H14:I14"/>
    <mergeCell ref="J14:K14"/>
    <mergeCell ref="L14:M14"/>
    <mergeCell ref="N14:O14"/>
    <mergeCell ref="P14:Q14"/>
    <mergeCell ref="A13:C13"/>
    <mergeCell ref="D13:E13"/>
    <mergeCell ref="F13:G13"/>
    <mergeCell ref="H13:I13"/>
    <mergeCell ref="J13:K13"/>
    <mergeCell ref="L13:M13"/>
    <mergeCell ref="N12:O12"/>
    <mergeCell ref="P12:Q12"/>
    <mergeCell ref="A12:C12"/>
    <mergeCell ref="D12:E12"/>
    <mergeCell ref="F12:G12"/>
    <mergeCell ref="H12:I12"/>
    <mergeCell ref="J12:K12"/>
    <mergeCell ref="L12:M12"/>
    <mergeCell ref="N10:O10"/>
    <mergeCell ref="P10:Q10"/>
    <mergeCell ref="A11:C11"/>
    <mergeCell ref="D11:E11"/>
    <mergeCell ref="F11:G11"/>
    <mergeCell ref="H11:I11"/>
    <mergeCell ref="J11:K11"/>
    <mergeCell ref="L11:M11"/>
    <mergeCell ref="N11:O11"/>
    <mergeCell ref="P11:Q11"/>
    <mergeCell ref="A10:C10"/>
    <mergeCell ref="D10:E10"/>
    <mergeCell ref="F10:G10"/>
    <mergeCell ref="H10:I10"/>
    <mergeCell ref="J10:K10"/>
    <mergeCell ref="L10:M10"/>
    <mergeCell ref="N7:O7"/>
    <mergeCell ref="P7:Q7"/>
    <mergeCell ref="A9:C9"/>
    <mergeCell ref="D9:E9"/>
    <mergeCell ref="F9:G9"/>
    <mergeCell ref="H9:I9"/>
    <mergeCell ref="J9:K9"/>
    <mergeCell ref="L9:M9"/>
    <mergeCell ref="N9:O9"/>
    <mergeCell ref="P9:Q9"/>
    <mergeCell ref="N6:O6"/>
    <mergeCell ref="N5:O5"/>
    <mergeCell ref="A7:C7"/>
    <mergeCell ref="D7:E7"/>
    <mergeCell ref="F7:G7"/>
    <mergeCell ref="H7:I7"/>
    <mergeCell ref="J7:K7"/>
    <mergeCell ref="L7:M7"/>
    <mergeCell ref="J5:K5"/>
    <mergeCell ref="J6:K6"/>
    <mergeCell ref="L5:M5"/>
    <mergeCell ref="L6:M6"/>
    <mergeCell ref="A1:D1"/>
    <mergeCell ref="D5:E5"/>
    <mergeCell ref="D6:E6"/>
    <mergeCell ref="F5:G5"/>
    <mergeCell ref="F6:G6"/>
    <mergeCell ref="H5:I5"/>
    <mergeCell ref="P6:Q6"/>
    <mergeCell ref="A6:C6"/>
    <mergeCell ref="H6:I6"/>
    <mergeCell ref="A5:C5"/>
    <mergeCell ref="P5:Q5"/>
    <mergeCell ref="A3:C4"/>
    <mergeCell ref="D3:E4"/>
    <mergeCell ref="F3:G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D80DE-FFBC-4231-8AC8-A0A9159FC1C5}">
  <dimension ref="A1:F113"/>
  <sheetViews>
    <sheetView showGridLines="0" topLeftCell="A79" zoomScale="101" zoomScaleNormal="101" workbookViewId="0">
      <selection activeCell="E5" sqref="E5:E6"/>
    </sheetView>
  </sheetViews>
  <sheetFormatPr defaultColWidth="8.85546875" defaultRowHeight="15"/>
  <cols>
    <col min="1" max="1" width="8.85546875" style="18"/>
    <col min="2" max="2" width="19.28515625" style="18" bestFit="1" customWidth="1"/>
    <col min="3" max="3" width="36.42578125" style="18" customWidth="1"/>
    <col min="4" max="4" width="32.5703125" style="14" customWidth="1"/>
    <col min="5" max="5" width="38.7109375" style="18" customWidth="1"/>
    <col min="6" max="6" width="10.42578125" style="19" bestFit="1" customWidth="1"/>
    <col min="7" max="16384" width="8.85546875" style="18"/>
  </cols>
  <sheetData>
    <row r="1" spans="1:6">
      <c r="A1" s="18">
        <v>1</v>
      </c>
      <c r="B1" s="18" t="s">
        <v>210</v>
      </c>
    </row>
    <row r="3" spans="1:6">
      <c r="B3" s="11" t="s">
        <v>0</v>
      </c>
      <c r="C3" s="12" t="s">
        <v>2</v>
      </c>
      <c r="D3" s="15" t="s">
        <v>211</v>
      </c>
    </row>
    <row r="4" spans="1:6">
      <c r="B4" s="16">
        <v>46022</v>
      </c>
      <c r="C4" s="17">
        <v>6316261</v>
      </c>
      <c r="D4" s="15"/>
    </row>
    <row r="5" spans="1:6">
      <c r="B5" s="16">
        <v>45657</v>
      </c>
      <c r="C5" s="17">
        <v>5786016</v>
      </c>
      <c r="D5" s="15">
        <f t="shared" ref="D5" si="0">(C4-C5)/C5</f>
        <v>9.1642504963691765E-2</v>
      </c>
      <c r="E5" s="18" t="s">
        <v>242</v>
      </c>
    </row>
    <row r="6" spans="1:6">
      <c r="B6" s="16">
        <v>45291</v>
      </c>
      <c r="C6" s="17">
        <v>4403589</v>
      </c>
      <c r="D6" s="15">
        <f>(C5-C6)/C6</f>
        <v>0.3139318860138855</v>
      </c>
      <c r="E6" s="18" t="s">
        <v>241</v>
      </c>
    </row>
    <row r="7" spans="1:6">
      <c r="B7" s="16">
        <v>44926</v>
      </c>
      <c r="C7" s="17">
        <v>4095135</v>
      </c>
      <c r="D7" s="15">
        <f>(C6-C7)/C7</f>
        <v>7.5322058979740592E-2</v>
      </c>
    </row>
    <row r="8" spans="1:6">
      <c r="B8" s="22"/>
      <c r="C8" s="23"/>
      <c r="D8" s="24"/>
    </row>
    <row r="9" spans="1:6">
      <c r="A9" s="18">
        <v>2</v>
      </c>
      <c r="B9" s="25" t="s">
        <v>240</v>
      </c>
      <c r="C9" s="23"/>
      <c r="D9" s="24"/>
    </row>
    <row r="11" spans="1:6">
      <c r="A11" s="18">
        <v>2.1</v>
      </c>
      <c r="B11" s="18" t="s">
        <v>212</v>
      </c>
    </row>
    <row r="13" spans="1:6" ht="30">
      <c r="B13" s="11" t="s">
        <v>0</v>
      </c>
      <c r="C13" s="12" t="s">
        <v>2</v>
      </c>
      <c r="D13" s="13" t="s">
        <v>214</v>
      </c>
      <c r="E13" s="12" t="s">
        <v>212</v>
      </c>
    </row>
    <row r="14" spans="1:6">
      <c r="B14" s="16">
        <v>46022</v>
      </c>
      <c r="C14" s="17">
        <v>6316261</v>
      </c>
      <c r="D14" s="17">
        <v>2618608</v>
      </c>
      <c r="E14" s="15">
        <f>D14/C14</f>
        <v>0.41458198133357693</v>
      </c>
      <c r="F14" s="19" t="s">
        <v>243</v>
      </c>
    </row>
    <row r="15" spans="1:6">
      <c r="B15" s="16">
        <v>45657</v>
      </c>
      <c r="C15" s="17">
        <v>5786016</v>
      </c>
      <c r="D15" s="17">
        <v>2448302</v>
      </c>
      <c r="E15" s="15">
        <f t="shared" ref="E15:E16" si="1">D15/C15</f>
        <v>0.4231412426097681</v>
      </c>
      <c r="F15" s="19" t="s">
        <v>244</v>
      </c>
    </row>
    <row r="16" spans="1:6">
      <c r="B16" s="16">
        <v>45291</v>
      </c>
      <c r="C16" s="17">
        <v>4403589</v>
      </c>
      <c r="D16" s="17">
        <v>1859635</v>
      </c>
      <c r="E16" s="15">
        <f t="shared" si="1"/>
        <v>0.42229985586756619</v>
      </c>
    </row>
    <row r="17" spans="1:6">
      <c r="B17" s="16">
        <v>44926</v>
      </c>
      <c r="C17" s="17">
        <v>4095135</v>
      </c>
      <c r="D17" s="17">
        <v>1659399</v>
      </c>
      <c r="E17" s="15">
        <f>D17/C17</f>
        <v>0.40521228237896917</v>
      </c>
    </row>
    <row r="19" spans="1:6">
      <c r="A19" s="18">
        <v>2.2000000000000002</v>
      </c>
      <c r="B19" s="18" t="s">
        <v>213</v>
      </c>
    </row>
    <row r="21" spans="1:6" ht="30">
      <c r="B21" s="11" t="s">
        <v>0</v>
      </c>
      <c r="C21" s="12" t="s">
        <v>2</v>
      </c>
      <c r="D21" s="13" t="s">
        <v>215</v>
      </c>
      <c r="E21" s="12" t="s">
        <v>213</v>
      </c>
    </row>
    <row r="22" spans="1:6">
      <c r="B22" s="16">
        <v>46022</v>
      </c>
      <c r="C22" s="17">
        <v>6316261</v>
      </c>
      <c r="D22" s="17">
        <v>-188374</v>
      </c>
      <c r="E22" s="15">
        <f>D22/C22</f>
        <v>-2.982365674882656E-2</v>
      </c>
    </row>
    <row r="23" spans="1:6">
      <c r="B23" s="16">
        <v>45657</v>
      </c>
      <c r="C23" s="17">
        <v>5786016</v>
      </c>
      <c r="D23" s="17">
        <v>-118912</v>
      </c>
      <c r="E23" s="15">
        <f t="shared" ref="E23:E24" si="2">D23/C23</f>
        <v>-2.0551619629119586E-2</v>
      </c>
      <c r="F23" s="19" t="s">
        <v>245</v>
      </c>
    </row>
    <row r="24" spans="1:6">
      <c r="B24" s="16">
        <v>45291</v>
      </c>
      <c r="C24" s="17">
        <v>4403589</v>
      </c>
      <c r="D24" s="17">
        <v>-475604</v>
      </c>
      <c r="E24" s="15">
        <f t="shared" si="2"/>
        <v>-0.10800372150988659</v>
      </c>
    </row>
    <row r="25" spans="1:6">
      <c r="B25" s="16">
        <v>44926</v>
      </c>
      <c r="C25" s="17">
        <v>4095135</v>
      </c>
      <c r="D25" s="17">
        <v>-1458916</v>
      </c>
      <c r="E25" s="15">
        <f>D25/C25</f>
        <v>-0.3562558987676841</v>
      </c>
    </row>
    <row r="27" spans="1:6">
      <c r="A27" s="18">
        <v>2.2999999999999998</v>
      </c>
      <c r="B27" s="18" t="s">
        <v>216</v>
      </c>
    </row>
    <row r="29" spans="1:6">
      <c r="B29" s="11" t="s">
        <v>0</v>
      </c>
      <c r="C29" s="12" t="s">
        <v>2</v>
      </c>
      <c r="D29" s="12" t="s">
        <v>48</v>
      </c>
      <c r="E29" s="19"/>
      <c r="F29" s="18"/>
    </row>
    <row r="30" spans="1:6">
      <c r="B30" s="16">
        <v>46022</v>
      </c>
      <c r="C30" s="17">
        <v>6316261</v>
      </c>
      <c r="D30" s="17">
        <v>102735</v>
      </c>
      <c r="E30" s="19"/>
      <c r="F30" s="18"/>
    </row>
    <row r="31" spans="1:6">
      <c r="B31" s="16">
        <v>45657</v>
      </c>
      <c r="C31" s="17">
        <v>5786016</v>
      </c>
      <c r="D31" s="17">
        <v>203163</v>
      </c>
      <c r="E31" s="19"/>
      <c r="F31" s="18"/>
    </row>
    <row r="32" spans="1:6">
      <c r="B32" s="16">
        <v>45291</v>
      </c>
      <c r="C32" s="17">
        <v>4403589</v>
      </c>
      <c r="D32" s="17">
        <v>-188968</v>
      </c>
      <c r="E32" s="19"/>
      <c r="F32" s="18"/>
    </row>
    <row r="33" spans="1:6">
      <c r="B33" s="16">
        <v>44926</v>
      </c>
      <c r="C33" s="17">
        <v>4095135</v>
      </c>
      <c r="D33" s="17">
        <v>-1404106</v>
      </c>
      <c r="E33" s="19"/>
      <c r="F33" s="18"/>
    </row>
    <row r="35" spans="1:6">
      <c r="A35" s="18">
        <v>3</v>
      </c>
      <c r="B35" s="18" t="s">
        <v>217</v>
      </c>
    </row>
    <row r="37" spans="1:6" ht="30">
      <c r="B37" s="11" t="s">
        <v>0</v>
      </c>
      <c r="C37" s="13" t="s">
        <v>215</v>
      </c>
      <c r="D37" s="18"/>
    </row>
    <row r="38" spans="1:6">
      <c r="B38" s="16">
        <v>46022</v>
      </c>
      <c r="C38" s="17">
        <v>-188374</v>
      </c>
      <c r="D38" s="18" t="s">
        <v>218</v>
      </c>
    </row>
    <row r="39" spans="1:6">
      <c r="B39" s="16">
        <v>45657</v>
      </c>
      <c r="C39" s="17">
        <v>-118912</v>
      </c>
      <c r="D39" s="14" t="s">
        <v>219</v>
      </c>
    </row>
    <row r="40" spans="1:6">
      <c r="B40" s="16">
        <v>45291</v>
      </c>
      <c r="C40" s="17">
        <v>-475604</v>
      </c>
      <c r="D40" s="18"/>
    </row>
    <row r="41" spans="1:6">
      <c r="B41" s="16">
        <v>44926</v>
      </c>
      <c r="C41" s="17">
        <v>-1458916</v>
      </c>
    </row>
    <row r="43" spans="1:6">
      <c r="A43" s="18">
        <v>4</v>
      </c>
      <c r="B43" s="18" t="s">
        <v>220</v>
      </c>
    </row>
    <row r="45" spans="1:6">
      <c r="A45" s="18">
        <v>4.0999999999999996</v>
      </c>
      <c r="B45" s="18" t="s">
        <v>221</v>
      </c>
    </row>
    <row r="47" spans="1:6">
      <c r="B47" s="11" t="s">
        <v>0</v>
      </c>
      <c r="C47" s="12" t="s">
        <v>139</v>
      </c>
    </row>
    <row r="48" spans="1:6">
      <c r="B48" s="16">
        <v>46022</v>
      </c>
      <c r="C48" s="17">
        <v>1168438</v>
      </c>
      <c r="D48" s="14" t="s">
        <v>223</v>
      </c>
    </row>
    <row r="49" spans="1:6">
      <c r="B49" s="16">
        <v>45657</v>
      </c>
      <c r="C49" s="17">
        <v>849737</v>
      </c>
    </row>
    <row r="50" spans="1:6">
      <c r="B50" s="16">
        <v>45291</v>
      </c>
      <c r="C50" s="17">
        <v>-98244</v>
      </c>
    </row>
    <row r="51" spans="1:6">
      <c r="B51" s="16">
        <v>44926</v>
      </c>
      <c r="C51" s="17">
        <v>-237285</v>
      </c>
      <c r="D51" s="14" t="s">
        <v>222</v>
      </c>
    </row>
    <row r="53" spans="1:6">
      <c r="A53" s="18">
        <v>4.2</v>
      </c>
      <c r="B53" s="18" t="s">
        <v>224</v>
      </c>
    </row>
    <row r="55" spans="1:6" ht="30">
      <c r="B55" s="11" t="s">
        <v>0</v>
      </c>
      <c r="C55" s="12" t="s">
        <v>139</v>
      </c>
      <c r="D55" s="12" t="s">
        <v>167</v>
      </c>
      <c r="E55" s="13" t="s">
        <v>226</v>
      </c>
    </row>
    <row r="56" spans="1:6">
      <c r="B56" s="16">
        <v>46022</v>
      </c>
      <c r="C56" s="17">
        <v>1168438</v>
      </c>
      <c r="D56" s="17">
        <v>-52822</v>
      </c>
      <c r="E56" s="17">
        <f t="shared" ref="E56:E59" si="3">C56+D56</f>
        <v>1115616</v>
      </c>
      <c r="F56" s="19" t="s">
        <v>246</v>
      </c>
    </row>
    <row r="57" spans="1:6">
      <c r="B57" s="16">
        <v>45657</v>
      </c>
      <c r="C57" s="17">
        <v>849737</v>
      </c>
      <c r="D57" s="17">
        <v>-83470</v>
      </c>
      <c r="E57" s="17">
        <f t="shared" si="3"/>
        <v>766267</v>
      </c>
    </row>
    <row r="58" spans="1:6">
      <c r="B58" s="16">
        <v>45291</v>
      </c>
      <c r="C58" s="17">
        <v>-98244</v>
      </c>
      <c r="D58" s="17">
        <v>-149819</v>
      </c>
      <c r="E58" s="17">
        <f t="shared" si="3"/>
        <v>-248063</v>
      </c>
    </row>
    <row r="59" spans="1:6">
      <c r="B59" s="16">
        <v>44926</v>
      </c>
      <c r="C59" s="17">
        <v>-237285</v>
      </c>
      <c r="D59" s="17">
        <v>-114970</v>
      </c>
      <c r="E59" s="17">
        <f t="shared" si="3"/>
        <v>-352255</v>
      </c>
    </row>
    <row r="61" spans="1:6">
      <c r="A61" s="18">
        <v>5</v>
      </c>
      <c r="B61" s="18" t="s">
        <v>227</v>
      </c>
    </row>
    <row r="63" spans="1:6">
      <c r="A63" s="18">
        <v>5.0999999999999996</v>
      </c>
      <c r="B63" s="18" t="s">
        <v>135</v>
      </c>
    </row>
    <row r="65" spans="1:6" ht="30">
      <c r="B65" s="11" t="s">
        <v>0</v>
      </c>
      <c r="C65" s="12" t="s">
        <v>135</v>
      </c>
      <c r="D65" s="12" t="s">
        <v>186</v>
      </c>
      <c r="E65" s="13" t="s">
        <v>228</v>
      </c>
    </row>
    <row r="66" spans="1:6">
      <c r="B66" s="16">
        <v>46022</v>
      </c>
      <c r="C66" s="17">
        <v>1276733</v>
      </c>
      <c r="D66" s="17">
        <v>1837370</v>
      </c>
      <c r="E66" s="17">
        <f>C66-D66</f>
        <v>-560637</v>
      </c>
      <c r="F66" s="19" t="s">
        <v>247</v>
      </c>
    </row>
    <row r="67" spans="1:6">
      <c r="B67" s="16">
        <v>45657</v>
      </c>
      <c r="C67" s="17">
        <v>1203581</v>
      </c>
      <c r="D67" s="17">
        <v>946040</v>
      </c>
      <c r="E67" s="17">
        <f t="shared" ref="E67:E69" si="4">C67-D67</f>
        <v>257541</v>
      </c>
    </row>
    <row r="68" spans="1:6">
      <c r="B68" s="16">
        <v>45291</v>
      </c>
      <c r="C68" s="17">
        <v>1041818</v>
      </c>
      <c r="D68" s="17">
        <v>771786</v>
      </c>
      <c r="E68" s="17">
        <f t="shared" si="4"/>
        <v>270032</v>
      </c>
    </row>
    <row r="69" spans="1:6">
      <c r="B69" s="16">
        <v>44926</v>
      </c>
      <c r="C69" s="17">
        <v>1061653</v>
      </c>
      <c r="D69" s="17">
        <v>391822</v>
      </c>
      <c r="E69" s="17">
        <f t="shared" si="4"/>
        <v>669831</v>
      </c>
    </row>
    <row r="71" spans="1:6">
      <c r="A71" s="18">
        <v>6</v>
      </c>
      <c r="B71" s="18" t="s">
        <v>229</v>
      </c>
    </row>
    <row r="73" spans="1:6" ht="30">
      <c r="B73" s="11" t="s">
        <v>0</v>
      </c>
      <c r="C73" s="13" t="s">
        <v>230</v>
      </c>
      <c r="D73" s="12" t="s">
        <v>27</v>
      </c>
    </row>
    <row r="74" spans="1:6">
      <c r="B74" s="16">
        <v>46022</v>
      </c>
      <c r="C74" s="17">
        <v>2844008</v>
      </c>
      <c r="D74" s="17">
        <v>-2897255</v>
      </c>
    </row>
    <row r="75" spans="1:6">
      <c r="B75" s="16">
        <v>45657</v>
      </c>
      <c r="C75" s="17">
        <v>22784</v>
      </c>
      <c r="D75" s="17">
        <v>2566</v>
      </c>
    </row>
    <row r="76" spans="1:6">
      <c r="B76" s="16">
        <v>45291</v>
      </c>
      <c r="C76" s="17">
        <v>-340320</v>
      </c>
      <c r="D76" s="17">
        <v>8616</v>
      </c>
    </row>
    <row r="77" spans="1:6">
      <c r="B77" s="16">
        <v>44926</v>
      </c>
      <c r="C77" s="17">
        <v>-1584511</v>
      </c>
      <c r="D77" s="17">
        <v>5872</v>
      </c>
    </row>
    <row r="79" spans="1:6">
      <c r="A79" s="18">
        <v>7</v>
      </c>
      <c r="B79" s="18" t="s">
        <v>231</v>
      </c>
    </row>
    <row r="81" spans="1:5">
      <c r="A81" s="18">
        <v>7.1</v>
      </c>
      <c r="B81" s="18" t="s">
        <v>232</v>
      </c>
    </row>
    <row r="83" spans="1:5" ht="30">
      <c r="B83" s="11" t="s">
        <v>0</v>
      </c>
      <c r="C83" s="12" t="s">
        <v>61</v>
      </c>
      <c r="D83" s="12" t="s">
        <v>97</v>
      </c>
      <c r="E83" s="13" t="s">
        <v>233</v>
      </c>
    </row>
    <row r="84" spans="1:5">
      <c r="B84" s="16">
        <v>46022</v>
      </c>
      <c r="C84" s="17">
        <v>2919515</v>
      </c>
      <c r="D84" s="17">
        <v>4525821</v>
      </c>
      <c r="E84" s="20">
        <f>C84/D84</f>
        <v>0.64507964411318963</v>
      </c>
    </row>
    <row r="85" spans="1:5">
      <c r="B85" s="16">
        <v>45657</v>
      </c>
      <c r="C85" s="17">
        <v>2950533</v>
      </c>
      <c r="D85" s="17">
        <v>3880742</v>
      </c>
      <c r="E85" s="20">
        <f t="shared" ref="E85:E87" si="5">C85/D85</f>
        <v>0.76030125166785112</v>
      </c>
    </row>
    <row r="86" spans="1:5">
      <c r="B86" s="16">
        <v>45291</v>
      </c>
      <c r="C86" s="17">
        <v>2577419</v>
      </c>
      <c r="D86" s="17">
        <v>2961561</v>
      </c>
      <c r="E86" s="20">
        <f t="shared" si="5"/>
        <v>0.87029070142401255</v>
      </c>
    </row>
    <row r="87" spans="1:5">
      <c r="B87" s="16">
        <v>44926</v>
      </c>
      <c r="C87" s="17">
        <v>2582859</v>
      </c>
      <c r="D87" s="17">
        <v>3132563</v>
      </c>
      <c r="E87" s="20">
        <f t="shared" si="5"/>
        <v>0.82451941110202731</v>
      </c>
    </row>
    <row r="89" spans="1:5">
      <c r="A89" s="18">
        <v>7.2</v>
      </c>
      <c r="B89" s="18" t="s">
        <v>234</v>
      </c>
    </row>
    <row r="91" spans="1:5" ht="45">
      <c r="B91" s="11" t="s">
        <v>0</v>
      </c>
      <c r="C91" s="13" t="s">
        <v>63</v>
      </c>
      <c r="D91" s="12" t="s">
        <v>97</v>
      </c>
      <c r="E91" s="13" t="s">
        <v>235</v>
      </c>
    </row>
    <row r="92" spans="1:5">
      <c r="B92" s="16">
        <v>46022</v>
      </c>
      <c r="C92" s="21">
        <v>1132009</v>
      </c>
      <c r="D92" s="17">
        <v>4525821</v>
      </c>
      <c r="E92" s="20">
        <f>C92/D92</f>
        <v>0.25012235349122292</v>
      </c>
    </row>
    <row r="93" spans="1:5">
      <c r="B93" s="16">
        <v>45657</v>
      </c>
      <c r="C93" s="21">
        <v>759319</v>
      </c>
      <c r="D93" s="17">
        <v>3880742</v>
      </c>
      <c r="E93" s="20">
        <f t="shared" ref="E93:E95" si="6">C93/D93</f>
        <v>0.19566335510064828</v>
      </c>
    </row>
    <row r="94" spans="1:5">
      <c r="B94" s="16">
        <v>45291</v>
      </c>
      <c r="C94" s="21">
        <v>558636</v>
      </c>
      <c r="D94" s="17">
        <v>2961561</v>
      </c>
      <c r="E94" s="20">
        <f t="shared" si="6"/>
        <v>0.18862890212290073</v>
      </c>
    </row>
    <row r="95" spans="1:5">
      <c r="B95" s="16">
        <v>44926</v>
      </c>
      <c r="C95" s="21">
        <v>281090</v>
      </c>
      <c r="D95" s="17">
        <v>3132563</v>
      </c>
      <c r="E95" s="20">
        <f t="shared" si="6"/>
        <v>8.9731635086030187E-2</v>
      </c>
    </row>
    <row r="97" spans="1:5">
      <c r="A97" s="18">
        <v>8</v>
      </c>
      <c r="B97" s="18" t="s">
        <v>236</v>
      </c>
    </row>
    <row r="99" spans="1:5">
      <c r="B99" s="11" t="s">
        <v>0</v>
      </c>
      <c r="C99" s="12" t="s">
        <v>48</v>
      </c>
      <c r="D99" s="12" t="s">
        <v>236</v>
      </c>
    </row>
    <row r="100" spans="1:5">
      <c r="B100" s="16">
        <v>46022</v>
      </c>
      <c r="C100" s="17">
        <v>102735</v>
      </c>
      <c r="D100" s="15"/>
    </row>
    <row r="101" spans="1:5">
      <c r="B101" s="16">
        <v>45657</v>
      </c>
      <c r="C101" s="17">
        <v>203163</v>
      </c>
      <c r="D101" s="15">
        <f t="shared" ref="D101:D102" si="7">(C100-C101)/C101</f>
        <v>-0.4943222929371982</v>
      </c>
    </row>
    <row r="102" spans="1:5">
      <c r="B102" s="16">
        <v>45291</v>
      </c>
      <c r="C102" s="17">
        <v>-188968</v>
      </c>
      <c r="D102" s="15">
        <f t="shared" si="7"/>
        <v>-2.0751185385885442</v>
      </c>
    </row>
    <row r="103" spans="1:5">
      <c r="B103" s="16">
        <v>44926</v>
      </c>
      <c r="C103" s="17">
        <v>-1404106</v>
      </c>
      <c r="D103" s="15">
        <f>(C102-C103)/C103</f>
        <v>-0.86541756818929627</v>
      </c>
    </row>
    <row r="105" spans="1:5">
      <c r="A105" s="18">
        <v>9</v>
      </c>
      <c r="B105" s="18" t="s">
        <v>237</v>
      </c>
    </row>
    <row r="107" spans="1:5">
      <c r="A107" s="18">
        <v>9.1</v>
      </c>
      <c r="B107" s="18" t="s">
        <v>238</v>
      </c>
    </row>
    <row r="109" spans="1:5" ht="30">
      <c r="B109" s="11" t="s">
        <v>0</v>
      </c>
      <c r="C109" s="12" t="s">
        <v>2</v>
      </c>
      <c r="D109" s="12" t="s">
        <v>60</v>
      </c>
      <c r="E109" s="13" t="s">
        <v>239</v>
      </c>
    </row>
    <row r="110" spans="1:5">
      <c r="B110" s="16">
        <v>46022</v>
      </c>
      <c r="C110" s="17">
        <v>6316261</v>
      </c>
      <c r="D110" s="17">
        <v>9030053</v>
      </c>
      <c r="E110" s="20">
        <f>C110/D110</f>
        <v>0.69947108837567173</v>
      </c>
    </row>
    <row r="111" spans="1:5">
      <c r="B111" s="16">
        <v>45657</v>
      </c>
      <c r="C111" s="17">
        <v>5786016</v>
      </c>
      <c r="D111" s="17">
        <v>5435069</v>
      </c>
      <c r="E111" s="20">
        <f t="shared" ref="E111:E113" si="8">C111/D111</f>
        <v>1.0645708453747322</v>
      </c>
    </row>
    <row r="112" spans="1:5">
      <c r="B112" s="16">
        <v>45291</v>
      </c>
      <c r="C112" s="17">
        <v>4403589</v>
      </c>
      <c r="D112" s="17">
        <v>4564467</v>
      </c>
      <c r="E112" s="20">
        <f t="shared" si="8"/>
        <v>0.96475426375083884</v>
      </c>
    </row>
    <row r="113" spans="2:5">
      <c r="B113" s="16">
        <v>44926</v>
      </c>
      <c r="C113" s="17">
        <v>4095135</v>
      </c>
      <c r="D113" s="17">
        <v>4556431</v>
      </c>
      <c r="E113" s="20">
        <f t="shared" si="8"/>
        <v>0.89875935792729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9F74-2077-4F79-8C0E-73CA194B862E}">
  <dimension ref="A1:M25"/>
  <sheetViews>
    <sheetView showGridLines="0" workbookViewId="0">
      <pane xSplit="3" ySplit="4" topLeftCell="D8" activePane="bottomRight" state="frozen"/>
      <selection pane="topRight" activeCell="D1" sqref="D1"/>
      <selection pane="bottomLeft" activeCell="A7" sqref="A7"/>
      <selection pane="bottomRight" activeCell="A3" sqref="A3:M4"/>
    </sheetView>
  </sheetViews>
  <sheetFormatPr defaultRowHeight="15"/>
  <cols>
    <col min="1" max="1" width="9.140625" style="47" customWidth="1"/>
    <col min="2" max="4" width="9.140625" style="47"/>
    <col min="5" max="7" width="11.7109375" style="47" bestFit="1" customWidth="1"/>
    <col min="8" max="8" width="13" style="47" bestFit="1" customWidth="1"/>
    <col min="9" max="9" width="11.7109375" style="47" bestFit="1" customWidth="1"/>
    <col min="10" max="16384" width="9.140625" style="47"/>
  </cols>
  <sheetData>
    <row r="1" spans="1:13" ht="24">
      <c r="A1" s="260" t="s">
        <v>350</v>
      </c>
      <c r="B1" s="260"/>
      <c r="C1" s="260"/>
      <c r="D1" s="260"/>
    </row>
    <row r="2" spans="1:13" ht="15.75" thickBot="1"/>
    <row r="3" spans="1:13" ht="15.75" thickTop="1">
      <c r="A3" s="340" t="s">
        <v>199</v>
      </c>
      <c r="B3" s="341"/>
      <c r="C3" s="341"/>
      <c r="D3" s="342" t="s">
        <v>252</v>
      </c>
      <c r="E3" s="342"/>
      <c r="F3" s="342" t="s">
        <v>253</v>
      </c>
      <c r="G3" s="342"/>
      <c r="H3" s="342" t="s">
        <v>254</v>
      </c>
      <c r="I3" s="342"/>
      <c r="J3" s="342" t="s">
        <v>255</v>
      </c>
      <c r="K3" s="342"/>
      <c r="L3" s="342" t="s">
        <v>256</v>
      </c>
      <c r="M3" s="343"/>
    </row>
    <row r="4" spans="1:13" ht="15.75" thickBot="1">
      <c r="A4" s="344"/>
      <c r="B4" s="337"/>
      <c r="C4" s="337"/>
      <c r="D4" s="338"/>
      <c r="E4" s="338"/>
      <c r="F4" s="338" t="s">
        <v>253</v>
      </c>
      <c r="G4" s="338"/>
      <c r="H4" s="338" t="s">
        <v>254</v>
      </c>
      <c r="I4" s="338"/>
      <c r="J4" s="338" t="s">
        <v>255</v>
      </c>
      <c r="K4" s="338"/>
      <c r="L4" s="338" t="s">
        <v>256</v>
      </c>
      <c r="M4" s="345"/>
    </row>
    <row r="5" spans="1:13" ht="15" customHeight="1">
      <c r="A5" s="346" t="s">
        <v>250</v>
      </c>
      <c r="B5" s="50">
        <v>0.09</v>
      </c>
      <c r="C5" s="50">
        <v>8.5000000000000006E-2</v>
      </c>
      <c r="D5" s="352">
        <v>0.09</v>
      </c>
      <c r="E5" s="352"/>
      <c r="F5" s="353">
        <v>8.5000000000000006E-2</v>
      </c>
      <c r="G5" s="353"/>
      <c r="H5" s="352">
        <v>0.08</v>
      </c>
      <c r="I5" s="352"/>
      <c r="J5" s="353">
        <v>7.4999999999999997E-2</v>
      </c>
      <c r="K5" s="353"/>
      <c r="L5" s="352">
        <v>7.0000000000000007E-2</v>
      </c>
      <c r="M5" s="354"/>
    </row>
    <row r="6" spans="1:13" ht="15.75" thickBot="1">
      <c r="A6" s="347"/>
      <c r="B6" s="339"/>
      <c r="C6" s="339"/>
      <c r="D6" s="355"/>
      <c r="E6" s="355"/>
      <c r="F6" s="355"/>
      <c r="G6" s="355"/>
      <c r="H6" s="355"/>
      <c r="I6" s="355"/>
      <c r="J6" s="355"/>
      <c r="K6" s="355"/>
      <c r="L6" s="355"/>
      <c r="M6" s="356"/>
    </row>
    <row r="7" spans="1:13" ht="15" customHeight="1">
      <c r="A7" s="346" t="s">
        <v>270</v>
      </c>
      <c r="B7" s="50">
        <v>0.59</v>
      </c>
      <c r="C7" s="50">
        <v>0.58799999999999997</v>
      </c>
      <c r="D7" s="352">
        <v>0.59</v>
      </c>
      <c r="E7" s="352"/>
      <c r="F7" s="353">
        <v>0.58799999999999997</v>
      </c>
      <c r="G7" s="353"/>
      <c r="H7" s="353">
        <v>0.58499999999999996</v>
      </c>
      <c r="I7" s="353"/>
      <c r="J7" s="353">
        <v>0.58199999999999996</v>
      </c>
      <c r="K7" s="353"/>
      <c r="L7" s="352">
        <v>0.57999999999999996</v>
      </c>
      <c r="M7" s="354"/>
    </row>
    <row r="8" spans="1:13" ht="15.75" thickBot="1">
      <c r="A8" s="347"/>
      <c r="B8" s="339"/>
      <c r="C8" s="339"/>
      <c r="D8" s="355"/>
      <c r="E8" s="355"/>
      <c r="F8" s="355"/>
      <c r="G8" s="355"/>
      <c r="H8" s="355"/>
      <c r="I8" s="355"/>
      <c r="J8" s="355"/>
      <c r="K8" s="355"/>
      <c r="L8" s="355"/>
      <c r="M8" s="356"/>
    </row>
    <row r="9" spans="1:13" ht="15" customHeight="1">
      <c r="A9" s="346" t="s">
        <v>268</v>
      </c>
      <c r="B9" s="50">
        <v>0.35499999999999998</v>
      </c>
      <c r="C9" s="50">
        <v>0.35</v>
      </c>
      <c r="D9" s="353">
        <v>0.35499999999999998</v>
      </c>
      <c r="E9" s="353"/>
      <c r="F9" s="352">
        <v>0.35</v>
      </c>
      <c r="G9" s="352"/>
      <c r="H9" s="353">
        <v>0.34499999999999997</v>
      </c>
      <c r="I9" s="353"/>
      <c r="J9" s="352">
        <v>0.34</v>
      </c>
      <c r="K9" s="352"/>
      <c r="L9" s="353">
        <v>0.33500000000000002</v>
      </c>
      <c r="M9" s="357"/>
    </row>
    <row r="10" spans="1:13" ht="15.75" thickBot="1">
      <c r="A10" s="347"/>
      <c r="B10" s="339"/>
      <c r="C10" s="339"/>
      <c r="D10" s="355"/>
      <c r="E10" s="355"/>
      <c r="F10" s="355"/>
      <c r="G10" s="355"/>
      <c r="H10" s="355"/>
      <c r="I10" s="355"/>
      <c r="J10" s="355"/>
      <c r="K10" s="355"/>
      <c r="L10" s="355"/>
      <c r="M10" s="356"/>
    </row>
    <row r="11" spans="1:13" ht="15" customHeight="1">
      <c r="A11" s="346" t="s">
        <v>273</v>
      </c>
      <c r="B11" s="50">
        <v>1.9800000000000002E-2</v>
      </c>
      <c r="C11" s="50">
        <v>1.9300000000000001E-2</v>
      </c>
      <c r="D11" s="353">
        <v>1.9800000000000002E-2</v>
      </c>
      <c r="E11" s="353"/>
      <c r="F11" s="353">
        <v>1.9300000000000001E-2</v>
      </c>
      <c r="G11" s="353"/>
      <c r="H11" s="353">
        <v>1.8700000000000001E-2</v>
      </c>
      <c r="I11" s="353"/>
      <c r="J11" s="353">
        <v>1.83E-2</v>
      </c>
      <c r="K11" s="353"/>
      <c r="L11" s="353">
        <v>1.7999999999999999E-2</v>
      </c>
      <c r="M11" s="357"/>
    </row>
    <row r="12" spans="1:13" ht="15.75" thickBot="1">
      <c r="A12" s="347"/>
      <c r="B12" s="339"/>
      <c r="C12" s="339"/>
      <c r="D12" s="355"/>
      <c r="E12" s="355"/>
      <c r="F12" s="355"/>
      <c r="G12" s="355"/>
      <c r="H12" s="355"/>
      <c r="I12" s="355"/>
      <c r="J12" s="355"/>
      <c r="K12" s="355"/>
      <c r="L12" s="355"/>
      <c r="M12" s="356"/>
    </row>
    <row r="13" spans="1:13">
      <c r="A13" s="346" t="s">
        <v>259</v>
      </c>
      <c r="B13" s="50">
        <v>0.09</v>
      </c>
      <c r="C13" s="50">
        <v>0.09</v>
      </c>
      <c r="D13" s="352">
        <v>0.09</v>
      </c>
      <c r="E13" s="352"/>
      <c r="F13" s="352">
        <v>0.09</v>
      </c>
      <c r="G13" s="352"/>
      <c r="H13" s="352">
        <v>0.09</v>
      </c>
      <c r="I13" s="352"/>
      <c r="J13" s="352">
        <v>0.09</v>
      </c>
      <c r="K13" s="352"/>
      <c r="L13" s="352">
        <v>0.09</v>
      </c>
      <c r="M13" s="354"/>
    </row>
    <row r="14" spans="1:13" ht="15.75" thickBot="1">
      <c r="A14" s="347"/>
      <c r="B14" s="339"/>
      <c r="C14" s="339"/>
      <c r="D14" s="355"/>
      <c r="E14" s="355"/>
      <c r="F14" s="355"/>
      <c r="G14" s="355"/>
      <c r="H14" s="355"/>
      <c r="I14" s="355"/>
      <c r="J14" s="355"/>
      <c r="K14" s="355"/>
      <c r="L14" s="355"/>
      <c r="M14" s="356"/>
    </row>
    <row r="15" spans="1:13" ht="15" customHeight="1">
      <c r="A15" s="346" t="s">
        <v>260</v>
      </c>
      <c r="B15" s="50">
        <v>0.02</v>
      </c>
      <c r="C15" s="50">
        <v>0.02</v>
      </c>
      <c r="D15" s="352">
        <v>0.02</v>
      </c>
      <c r="E15" s="352"/>
      <c r="F15" s="352">
        <v>0.02</v>
      </c>
      <c r="G15" s="352"/>
      <c r="H15" s="352">
        <v>0.02</v>
      </c>
      <c r="I15" s="352"/>
      <c r="J15" s="352">
        <v>0.02</v>
      </c>
      <c r="K15" s="352"/>
      <c r="L15" s="352">
        <v>0.02</v>
      </c>
      <c r="M15" s="354"/>
    </row>
    <row r="16" spans="1:13" ht="15.75" thickBot="1">
      <c r="A16" s="347"/>
      <c r="B16" s="339"/>
      <c r="C16" s="339"/>
      <c r="D16" s="355"/>
      <c r="E16" s="355"/>
      <c r="F16" s="355"/>
      <c r="G16" s="355"/>
      <c r="H16" s="355"/>
      <c r="I16" s="355"/>
      <c r="J16" s="355"/>
      <c r="K16" s="355"/>
      <c r="L16" s="355"/>
      <c r="M16" s="356"/>
    </row>
    <row r="17" spans="1:13">
      <c r="A17" s="346" t="s">
        <v>261</v>
      </c>
      <c r="B17" s="50">
        <v>0.15</v>
      </c>
      <c r="C17" s="50">
        <v>0.17</v>
      </c>
      <c r="D17" s="352">
        <v>0.15</v>
      </c>
      <c r="E17" s="352"/>
      <c r="F17" s="352">
        <v>0.17</v>
      </c>
      <c r="G17" s="352"/>
      <c r="H17" s="352">
        <v>0.19</v>
      </c>
      <c r="I17" s="352"/>
      <c r="J17" s="352">
        <v>0.21</v>
      </c>
      <c r="K17" s="352"/>
      <c r="L17" s="352">
        <v>0.22</v>
      </c>
      <c r="M17" s="354"/>
    </row>
    <row r="18" spans="1:13" ht="15.75" thickBot="1">
      <c r="A18" s="347"/>
      <c r="B18" s="339"/>
      <c r="C18" s="339"/>
      <c r="D18" s="355"/>
      <c r="E18" s="355"/>
      <c r="F18" s="355"/>
      <c r="G18" s="355"/>
      <c r="H18" s="355"/>
      <c r="I18" s="355"/>
      <c r="J18" s="355"/>
      <c r="K18" s="355"/>
      <c r="L18" s="355"/>
      <c r="M18" s="356"/>
    </row>
    <row r="19" spans="1:13" ht="15" customHeight="1">
      <c r="A19" s="346" t="s">
        <v>262</v>
      </c>
      <c r="B19" s="50">
        <v>0.01</v>
      </c>
      <c r="C19" s="50">
        <v>1.0999999999999999E-2</v>
      </c>
      <c r="D19" s="352">
        <v>0.01</v>
      </c>
      <c r="E19" s="352"/>
      <c r="F19" s="353">
        <v>1.0999999999999999E-2</v>
      </c>
      <c r="G19" s="353"/>
      <c r="H19" s="353">
        <v>1.2E-2</v>
      </c>
      <c r="I19" s="353"/>
      <c r="J19" s="353">
        <v>1.2999999999999999E-2</v>
      </c>
      <c r="K19" s="353"/>
      <c r="L19" s="353">
        <v>1.4999999999999999E-2</v>
      </c>
      <c r="M19" s="357"/>
    </row>
    <row r="20" spans="1:13" ht="15.75" thickBot="1">
      <c r="A20" s="347"/>
      <c r="B20" s="339"/>
      <c r="C20" s="339"/>
      <c r="D20" s="355"/>
      <c r="E20" s="355"/>
      <c r="F20" s="355"/>
      <c r="G20" s="355"/>
      <c r="H20" s="355"/>
      <c r="I20" s="355"/>
      <c r="J20" s="355"/>
      <c r="K20" s="355"/>
      <c r="L20" s="355"/>
      <c r="M20" s="356"/>
    </row>
    <row r="21" spans="1:13" ht="15" customHeight="1">
      <c r="A21" s="346" t="s">
        <v>274</v>
      </c>
      <c r="B21" s="50">
        <v>-0.13</v>
      </c>
      <c r="C21" s="50">
        <v>-0.125</v>
      </c>
      <c r="D21" s="358">
        <v>-0.13</v>
      </c>
      <c r="E21" s="358"/>
      <c r="F21" s="359">
        <v>-0.125</v>
      </c>
      <c r="G21" s="359"/>
      <c r="H21" s="358">
        <v>-0.12</v>
      </c>
      <c r="I21" s="358"/>
      <c r="J21" s="359">
        <v>-0.115</v>
      </c>
      <c r="K21" s="359"/>
      <c r="L21" s="358">
        <v>-0.11</v>
      </c>
      <c r="M21" s="360"/>
    </row>
    <row r="22" spans="1:13" ht="15.75" thickBot="1">
      <c r="A22" s="348"/>
      <c r="B22" s="349"/>
      <c r="C22" s="349"/>
      <c r="D22" s="349"/>
      <c r="E22" s="349"/>
      <c r="F22" s="349"/>
      <c r="G22" s="349"/>
      <c r="H22" s="349"/>
      <c r="I22" s="349"/>
      <c r="J22" s="349"/>
      <c r="K22" s="349"/>
      <c r="L22" s="349"/>
      <c r="M22" s="350"/>
    </row>
    <row r="23" spans="1:13" ht="15.75" thickTop="1"/>
    <row r="25" spans="1:13" s="49" customFormat="1" ht="13.5"/>
  </sheetData>
  <mergeCells count="61">
    <mergeCell ref="A1:D1"/>
    <mergeCell ref="A3:C4"/>
    <mergeCell ref="D3:E4"/>
    <mergeCell ref="F3:G4"/>
    <mergeCell ref="H3:I4"/>
    <mergeCell ref="J3:K4"/>
    <mergeCell ref="L3:M4"/>
    <mergeCell ref="A21:C21"/>
    <mergeCell ref="D21:E21"/>
    <mergeCell ref="F21:G21"/>
    <mergeCell ref="H21:I21"/>
    <mergeCell ref="J21:K21"/>
    <mergeCell ref="L21:M21"/>
    <mergeCell ref="A19:C19"/>
    <mergeCell ref="D19:E19"/>
    <mergeCell ref="F19:G19"/>
    <mergeCell ref="H19:I19"/>
    <mergeCell ref="J19:K19"/>
    <mergeCell ref="L19:M19"/>
    <mergeCell ref="A17:C17"/>
    <mergeCell ref="D17:E17"/>
    <mergeCell ref="F17:G17"/>
    <mergeCell ref="H17:I17"/>
    <mergeCell ref="J17:K17"/>
    <mergeCell ref="L17:M17"/>
    <mergeCell ref="A15:C15"/>
    <mergeCell ref="D15:E15"/>
    <mergeCell ref="F15:G15"/>
    <mergeCell ref="H15:I15"/>
    <mergeCell ref="J15:K15"/>
    <mergeCell ref="L15:M15"/>
    <mergeCell ref="A13:C13"/>
    <mergeCell ref="D13:E13"/>
    <mergeCell ref="F13:G13"/>
    <mergeCell ref="H13:I13"/>
    <mergeCell ref="J13:K13"/>
    <mergeCell ref="L13:M13"/>
    <mergeCell ref="A11:C11"/>
    <mergeCell ref="D11:E11"/>
    <mergeCell ref="F11:G11"/>
    <mergeCell ref="H11:I11"/>
    <mergeCell ref="J11:K11"/>
    <mergeCell ref="L11:M11"/>
    <mergeCell ref="A9:C9"/>
    <mergeCell ref="D9:E9"/>
    <mergeCell ref="F9:G9"/>
    <mergeCell ref="H9:I9"/>
    <mergeCell ref="J9:K9"/>
    <mergeCell ref="L9:M9"/>
    <mergeCell ref="A7:C7"/>
    <mergeCell ref="D7:E7"/>
    <mergeCell ref="F7:G7"/>
    <mergeCell ref="H7:I7"/>
    <mergeCell ref="J7:K7"/>
    <mergeCell ref="L7:M7"/>
    <mergeCell ref="A5:C5"/>
    <mergeCell ref="D5:E5"/>
    <mergeCell ref="F5:G5"/>
    <mergeCell ref="H5:I5"/>
    <mergeCell ref="J5:K5"/>
    <mergeCell ref="L5:M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B1A11-A7E6-44D3-82A0-9843CBCD9072}">
  <dimension ref="A1:Q31"/>
  <sheetViews>
    <sheetView showGridLines="0" tabSelected="1" workbookViewId="0">
      <pane xSplit="3" ySplit="4" topLeftCell="D5" activePane="bottomRight" state="frozen"/>
      <selection pane="topRight" activeCell="D1" sqref="D1"/>
      <selection pane="bottomLeft" activeCell="A7" sqref="A7"/>
      <selection pane="bottomRight" sqref="A1:G1"/>
    </sheetView>
  </sheetViews>
  <sheetFormatPr defaultRowHeight="15"/>
  <sheetData>
    <row r="1" spans="1:15" ht="24">
      <c r="A1" s="260" t="s">
        <v>357</v>
      </c>
      <c r="B1" s="260"/>
      <c r="C1" s="260"/>
      <c r="D1" s="260"/>
      <c r="E1" s="260"/>
      <c r="F1" s="260"/>
      <c r="G1" s="260"/>
    </row>
    <row r="2" spans="1:15" ht="15.75" thickBot="1"/>
    <row r="3" spans="1:15" ht="39" customHeight="1" thickTop="1">
      <c r="A3" s="362" t="s">
        <v>365</v>
      </c>
      <c r="B3" s="363"/>
      <c r="C3" s="363"/>
      <c r="D3" s="364" t="s">
        <v>338</v>
      </c>
      <c r="E3" s="364"/>
      <c r="F3" s="364" t="s">
        <v>351</v>
      </c>
      <c r="G3" s="364"/>
      <c r="H3" s="364" t="s">
        <v>352</v>
      </c>
      <c r="I3" s="364"/>
      <c r="J3" s="364" t="s">
        <v>353</v>
      </c>
      <c r="K3" s="364"/>
      <c r="L3" s="364" t="s">
        <v>354</v>
      </c>
      <c r="M3" s="364"/>
      <c r="N3" s="364" t="s">
        <v>355</v>
      </c>
      <c r="O3" s="365"/>
    </row>
    <row r="4" spans="1:15" ht="15.75" customHeight="1" thickBot="1">
      <c r="A4" s="384"/>
      <c r="B4" s="385"/>
      <c r="C4" s="385"/>
      <c r="D4" s="386"/>
      <c r="E4" s="386"/>
      <c r="F4" s="386" t="s">
        <v>351</v>
      </c>
      <c r="G4" s="386"/>
      <c r="H4" s="386"/>
      <c r="I4" s="386"/>
      <c r="J4" s="386" t="s">
        <v>351</v>
      </c>
      <c r="K4" s="386"/>
      <c r="L4" s="386"/>
      <c r="M4" s="386"/>
      <c r="N4" s="386" t="s">
        <v>351</v>
      </c>
      <c r="O4" s="387"/>
    </row>
    <row r="5" spans="1:15">
      <c r="A5" s="316" t="s">
        <v>340</v>
      </c>
      <c r="B5" s="65"/>
      <c r="C5" s="65"/>
      <c r="D5" s="302"/>
      <c r="E5" s="302"/>
      <c r="F5" s="66"/>
      <c r="G5" s="66"/>
      <c r="H5" s="66"/>
      <c r="I5" s="66"/>
      <c r="J5" s="66"/>
      <c r="K5" s="66"/>
      <c r="L5" s="67"/>
      <c r="M5" s="67"/>
      <c r="N5" s="67"/>
      <c r="O5" s="317"/>
    </row>
    <row r="6" spans="1:15">
      <c r="A6" s="318" t="s">
        <v>2</v>
      </c>
      <c r="B6" s="30"/>
      <c r="C6" s="30"/>
      <c r="D6" s="303">
        <v>6316261</v>
      </c>
      <c r="E6" s="303"/>
      <c r="F6" s="34">
        <f>D6*(1+ASSUMPTIONS!D5)</f>
        <v>6884724.4900000002</v>
      </c>
      <c r="G6" s="34"/>
      <c r="H6" s="34">
        <f>F6*(1+ASSUMPTIONS!F5)</f>
        <v>7469926.0716500003</v>
      </c>
      <c r="I6" s="34"/>
      <c r="J6" s="34">
        <f>H6*(1+ASSUMPTIONS!H5)</f>
        <v>8067520.1573820012</v>
      </c>
      <c r="K6" s="34"/>
      <c r="L6" s="34">
        <f>J6*(1+ASSUMPTIONS!J5)</f>
        <v>8672584.1691856515</v>
      </c>
      <c r="M6" s="34"/>
      <c r="N6" s="34">
        <f>L6*(1+ASSUMPTIONS!L5)</f>
        <v>9279665.0610286482</v>
      </c>
      <c r="O6" s="366"/>
    </row>
    <row r="7" spans="1:15">
      <c r="A7" s="318" t="s">
        <v>4</v>
      </c>
      <c r="B7" s="30"/>
      <c r="C7" s="30"/>
      <c r="D7" s="303">
        <v>3697653</v>
      </c>
      <c r="E7" s="303"/>
      <c r="F7" s="31">
        <f>F6*ASSUMPTIONS!D7</f>
        <v>4061987.4490999999</v>
      </c>
      <c r="G7" s="31"/>
      <c r="H7" s="31">
        <f>H6*ASSUMPTIONS!F7</f>
        <v>4392316.5301302001</v>
      </c>
      <c r="I7" s="31"/>
      <c r="J7" s="31">
        <f>J6*ASSUMPTIONS!H7</f>
        <v>4719499.2920684703</v>
      </c>
      <c r="K7" s="31"/>
      <c r="L7" s="31">
        <f>L6*ASSUMPTIONS!J7</f>
        <v>5047443.9864660492</v>
      </c>
      <c r="M7" s="31"/>
      <c r="N7" s="31">
        <f>N6*ASSUMPTIONS!L7</f>
        <v>5382205.7353966152</v>
      </c>
      <c r="O7" s="367"/>
    </row>
    <row r="8" spans="1:15">
      <c r="A8" s="322" t="s">
        <v>5</v>
      </c>
      <c r="B8" s="36"/>
      <c r="C8" s="36"/>
      <c r="D8" s="303">
        <f>D6-D7</f>
        <v>2618608</v>
      </c>
      <c r="E8" s="303"/>
      <c r="F8" s="31">
        <f>F6-F7</f>
        <v>2822737.0409000004</v>
      </c>
      <c r="G8" s="31"/>
      <c r="H8" s="31">
        <f t="shared" ref="H8" si="0">H6-H7</f>
        <v>3077609.5415198002</v>
      </c>
      <c r="I8" s="31"/>
      <c r="J8" s="31">
        <f t="shared" ref="J8" si="1">J6-J7</f>
        <v>3348020.8653135309</v>
      </c>
      <c r="K8" s="31"/>
      <c r="L8" s="31">
        <f t="shared" ref="L8" si="2">L6-L7</f>
        <v>3625140.1827196022</v>
      </c>
      <c r="M8" s="31"/>
      <c r="N8" s="31">
        <f t="shared" ref="N8" si="3">N6-N7</f>
        <v>3897459.3256320329</v>
      </c>
      <c r="O8" s="367"/>
    </row>
    <row r="9" spans="1:15">
      <c r="A9" s="320" t="s">
        <v>212</v>
      </c>
      <c r="B9" s="37"/>
      <c r="C9" s="37"/>
      <c r="D9" s="304">
        <f>D8/D6</f>
        <v>0.41458198133357693</v>
      </c>
      <c r="E9" s="304">
        <f>D8/D6</f>
        <v>0.41458198133357693</v>
      </c>
      <c r="F9" s="40">
        <f>F8/F6</f>
        <v>0.41000000000000003</v>
      </c>
      <c r="G9" s="40">
        <f>F8/F6</f>
        <v>0.41000000000000003</v>
      </c>
      <c r="H9" s="40">
        <f>H8/H6</f>
        <v>0.41200000000000003</v>
      </c>
      <c r="I9" s="40">
        <f>H8/H6</f>
        <v>0.41200000000000003</v>
      </c>
      <c r="J9" s="40">
        <f t="shared" ref="J9" si="4">J8/J6</f>
        <v>0.41500000000000004</v>
      </c>
      <c r="K9" s="40">
        <f t="shared" ref="K9:O9" si="5">J8/J6</f>
        <v>0.41500000000000004</v>
      </c>
      <c r="L9" s="40">
        <f t="shared" ref="L9" si="6">L8/L6</f>
        <v>0.41799999999999998</v>
      </c>
      <c r="M9" s="40">
        <f t="shared" ref="M9:O9" si="7">L8/L6</f>
        <v>0.41799999999999998</v>
      </c>
      <c r="N9" s="40">
        <f t="shared" ref="N9" si="8">N8/N6</f>
        <v>0.4200000000000001</v>
      </c>
      <c r="O9" s="368">
        <f t="shared" ref="O9" si="9">N8/N6</f>
        <v>0.4200000000000001</v>
      </c>
    </row>
    <row r="10" spans="1:15">
      <c r="A10" s="322" t="s">
        <v>6</v>
      </c>
      <c r="B10" s="36"/>
      <c r="C10" s="36"/>
      <c r="D10" s="303">
        <v>2806982</v>
      </c>
      <c r="E10" s="303"/>
      <c r="F10" s="31">
        <f>F6*ASSUMPTIONS!D9</f>
        <v>2444077.1939499998</v>
      </c>
      <c r="G10" s="31"/>
      <c r="H10" s="31">
        <f>H6*ASSUMPTIONS!F9</f>
        <v>2614474.1250775</v>
      </c>
      <c r="I10" s="31"/>
      <c r="J10" s="31">
        <f>J6*ASSUMPTIONS!H9</f>
        <v>2783294.4542967901</v>
      </c>
      <c r="K10" s="31"/>
      <c r="L10" s="31">
        <f>L6*ASSUMPTIONS!J9</f>
        <v>2948678.6175231216</v>
      </c>
      <c r="M10" s="31"/>
      <c r="N10" s="31">
        <f>N6*ASSUMPTIONS!L9</f>
        <v>3108687.7954445975</v>
      </c>
      <c r="O10" s="367"/>
    </row>
    <row r="11" spans="1:15">
      <c r="A11" s="322" t="s">
        <v>48</v>
      </c>
      <c r="B11" s="36"/>
      <c r="C11" s="36"/>
      <c r="D11" s="303">
        <v>102735</v>
      </c>
      <c r="E11" s="303">
        <v>102735</v>
      </c>
      <c r="F11" s="31">
        <f>F8-F10+F15</f>
        <v>514977.39185200061</v>
      </c>
      <c r="G11" s="31">
        <v>203163</v>
      </c>
      <c r="H11" s="31">
        <f>H8-H10+H15</f>
        <v>607304.98962514522</v>
      </c>
      <c r="I11" s="31">
        <v>203164</v>
      </c>
      <c r="J11" s="31">
        <f>J8-J10+J15</f>
        <v>715589.03795978427</v>
      </c>
      <c r="K11" s="31">
        <v>203165</v>
      </c>
      <c r="L11" s="31">
        <f>L8-L10+L15</f>
        <v>835169.855492578</v>
      </c>
      <c r="M11" s="31">
        <v>203166</v>
      </c>
      <c r="N11" s="31">
        <f>N8-N10+N15</f>
        <v>955805.50128595112</v>
      </c>
      <c r="O11" s="367">
        <v>203167</v>
      </c>
    </row>
    <row r="12" spans="1:15">
      <c r="A12" s="369" t="s">
        <v>216</v>
      </c>
      <c r="B12" s="53"/>
      <c r="C12" s="53"/>
      <c r="D12" s="388">
        <f>D11/D6</f>
        <v>1.6265160670212962E-2</v>
      </c>
      <c r="E12" s="388"/>
      <c r="F12" s="52">
        <f>F11/F6</f>
        <v>7.4800000000000089E-2</v>
      </c>
      <c r="G12" s="52"/>
      <c r="H12" s="52">
        <f>H11/H6</f>
        <v>8.1300000000000025E-2</v>
      </c>
      <c r="I12" s="52"/>
      <c r="J12" s="52">
        <f>J11/J6</f>
        <v>8.8700000000000098E-2</v>
      </c>
      <c r="K12" s="52"/>
      <c r="L12" s="52">
        <f t="shared" ref="L12" si="10">L11/L6</f>
        <v>9.6299999999999969E-2</v>
      </c>
      <c r="M12" s="52"/>
      <c r="N12" s="52">
        <f t="shared" ref="N12" si="11">N11/N6</f>
        <v>0.10300000000000004</v>
      </c>
      <c r="O12" s="370"/>
    </row>
    <row r="13" spans="1:15">
      <c r="A13" s="322" t="s">
        <v>267</v>
      </c>
      <c r="B13" s="36"/>
      <c r="C13" s="36"/>
      <c r="D13" s="303">
        <v>-188374</v>
      </c>
      <c r="E13" s="303"/>
      <c r="F13" s="31">
        <f>F11-F15</f>
        <v>378659.84695000062</v>
      </c>
      <c r="G13" s="31"/>
      <c r="H13" s="31">
        <f t="shared" ref="H13:O13" si="12">H11-H15</f>
        <v>463135.41644230019</v>
      </c>
      <c r="I13" s="31"/>
      <c r="J13" s="31">
        <f t="shared" ref="J13:O13" si="13">J11-J15</f>
        <v>564726.41101674084</v>
      </c>
      <c r="K13" s="31"/>
      <c r="L13" s="31">
        <f t="shared" ref="L13:O13" si="14">L11-L15</f>
        <v>676461.5651964806</v>
      </c>
      <c r="M13" s="31"/>
      <c r="N13" s="31">
        <f t="shared" ref="N13:O13" si="15">N11-N15</f>
        <v>788771.53018743545</v>
      </c>
      <c r="O13" s="367"/>
    </row>
    <row r="14" spans="1:15">
      <c r="A14" s="320" t="s">
        <v>266</v>
      </c>
      <c r="B14" s="37"/>
      <c r="C14" s="37"/>
      <c r="D14" s="304">
        <f>D13/D6</f>
        <v>-2.982365674882656E-2</v>
      </c>
      <c r="E14" s="304"/>
      <c r="F14" s="40">
        <f>F13/F6</f>
        <v>5.500000000000009E-2</v>
      </c>
      <c r="G14" s="40"/>
      <c r="H14" s="40">
        <f>H13/H6</f>
        <v>6.200000000000002E-2</v>
      </c>
      <c r="I14" s="40"/>
      <c r="J14" s="40">
        <f>J13/J6</f>
        <v>7.000000000000009E-2</v>
      </c>
      <c r="K14" s="40"/>
      <c r="L14" s="40">
        <f t="shared" ref="L14" si="16">L13/L6</f>
        <v>7.7999999999999972E-2</v>
      </c>
      <c r="M14" s="40"/>
      <c r="N14" s="40">
        <f t="shared" ref="N14" si="17">N13/N6</f>
        <v>8.5000000000000034E-2</v>
      </c>
      <c r="O14" s="368"/>
    </row>
    <row r="15" spans="1:15">
      <c r="A15" s="322" t="s">
        <v>264</v>
      </c>
      <c r="B15" s="36"/>
      <c r="C15" s="36"/>
      <c r="D15" s="303">
        <v>135227</v>
      </c>
      <c r="E15" s="303"/>
      <c r="F15" s="31">
        <f>F6*ASSUMPTIONS!D11</f>
        <v>136317.54490200002</v>
      </c>
      <c r="G15" s="31"/>
      <c r="H15" s="31">
        <f>H6*ASSUMPTIONS!F11</f>
        <v>144169.57318284502</v>
      </c>
      <c r="I15" s="31"/>
      <c r="J15" s="31">
        <f>J6*ASSUMPTIONS!H11</f>
        <v>150862.62694304343</v>
      </c>
      <c r="K15" s="31"/>
      <c r="L15" s="31">
        <f>L6*ASSUMPTIONS!J11</f>
        <v>158708.29029609743</v>
      </c>
      <c r="M15" s="31"/>
      <c r="N15" s="31">
        <f>N6*ASSUMPTIONS!L11</f>
        <v>167033.97109851564</v>
      </c>
      <c r="O15" s="367"/>
    </row>
    <row r="16" spans="1:15">
      <c r="A16" s="371" t="s">
        <v>263</v>
      </c>
      <c r="B16" s="41"/>
      <c r="C16" s="41"/>
      <c r="D16" s="389">
        <v>-2897255</v>
      </c>
      <c r="E16" s="389"/>
      <c r="F16" s="54">
        <f>F13*ASSUMPTIONS!D17</f>
        <v>56798.97704250009</v>
      </c>
      <c r="G16" s="54"/>
      <c r="H16" s="54">
        <f>H13*ASSUMPTIONS!F17</f>
        <v>78733.020795191042</v>
      </c>
      <c r="I16" s="54"/>
      <c r="J16" s="54">
        <f>J13*ASSUMPTIONS!H17</f>
        <v>107298.01809318076</v>
      </c>
      <c r="K16" s="54"/>
      <c r="L16" s="54">
        <f>L13*ASSUMPTIONS!J17</f>
        <v>142056.92869126092</v>
      </c>
      <c r="M16" s="54"/>
      <c r="N16" s="54">
        <f>N13*ASSUMPTIONS!L17</f>
        <v>173529.7366412358</v>
      </c>
      <c r="O16" s="372"/>
    </row>
    <row r="17" spans="1:17">
      <c r="A17" s="322" t="s">
        <v>248</v>
      </c>
      <c r="B17" s="36"/>
      <c r="C17" s="36"/>
      <c r="D17" s="303">
        <v>-52822</v>
      </c>
      <c r="E17" s="303"/>
      <c r="F17" s="31">
        <f>F6*ASSUMPTIONS!D19</f>
        <v>68847.244900000005</v>
      </c>
      <c r="G17" s="31"/>
      <c r="H17" s="31">
        <f>H6*ASSUMPTIONS!F19</f>
        <v>82169.186788149993</v>
      </c>
      <c r="I17" s="31"/>
      <c r="J17" s="31">
        <f>J6*ASSUMPTIONS!H19</f>
        <v>96810.241888584016</v>
      </c>
      <c r="K17" s="31"/>
      <c r="L17" s="31">
        <f>L6*ASSUMPTIONS!J19</f>
        <v>112743.59419941346</v>
      </c>
      <c r="M17" s="31"/>
      <c r="N17" s="31">
        <f>N6*ASSUMPTIONS!L19</f>
        <v>139194.97591542971</v>
      </c>
      <c r="O17" s="367"/>
    </row>
    <row r="18" spans="1:17">
      <c r="A18" s="318" t="s">
        <v>275</v>
      </c>
      <c r="B18" s="30"/>
      <c r="C18" s="30"/>
      <c r="D18" s="303">
        <f>'HISTORICAL FINANCIALS'!D35:E35</f>
        <v>-1606306</v>
      </c>
      <c r="E18" s="303"/>
      <c r="F18" s="31">
        <f>F6*ASSUMPTIONS!D21</f>
        <v>-895014.18370000005</v>
      </c>
      <c r="G18" s="31"/>
      <c r="H18" s="31">
        <f>H6*ASSUMPTIONS!F21</f>
        <v>-933740.75895625004</v>
      </c>
      <c r="I18" s="31"/>
      <c r="J18" s="31">
        <f>J6*ASSUMPTIONS!H21</f>
        <v>-968102.4188858401</v>
      </c>
      <c r="K18" s="31"/>
      <c r="L18" s="31">
        <f>L6*ASSUMPTIONS!J21</f>
        <v>-997347.17945634993</v>
      </c>
      <c r="M18" s="31"/>
      <c r="N18" s="31">
        <f>N6*ASSUMPTIONS!L21</f>
        <v>-1020763.1567131513</v>
      </c>
      <c r="O18" s="367"/>
    </row>
    <row r="19" spans="1:17" s="56" customFormat="1">
      <c r="A19" s="373"/>
      <c r="B19" s="57"/>
      <c r="C19" s="57"/>
      <c r="D19" s="46"/>
      <c r="E19" s="46"/>
      <c r="F19" s="58"/>
      <c r="G19" s="58"/>
      <c r="H19" s="46"/>
      <c r="I19" s="46"/>
      <c r="J19" s="46"/>
      <c r="K19" s="46"/>
      <c r="L19" s="59"/>
      <c r="M19" s="59"/>
      <c r="N19" s="59"/>
      <c r="O19" s="374"/>
    </row>
    <row r="20" spans="1:17" s="60" customFormat="1">
      <c r="A20" s="375"/>
      <c r="B20" s="61"/>
      <c r="C20" s="61"/>
      <c r="D20" s="62"/>
      <c r="E20" s="62"/>
      <c r="F20" s="63"/>
      <c r="G20" s="63"/>
      <c r="H20" s="62"/>
      <c r="I20" s="62"/>
      <c r="J20" s="62"/>
      <c r="K20" s="62"/>
      <c r="L20" s="64"/>
      <c r="M20" s="64"/>
      <c r="N20" s="64"/>
      <c r="O20" s="376"/>
    </row>
    <row r="21" spans="1:17" s="56" customFormat="1">
      <c r="A21" s="375"/>
      <c r="B21" s="61"/>
      <c r="C21" s="61"/>
      <c r="D21" s="62"/>
      <c r="E21" s="62"/>
      <c r="F21" s="63"/>
      <c r="G21" s="63"/>
      <c r="H21" s="62"/>
      <c r="I21" s="62"/>
      <c r="J21" s="62"/>
      <c r="K21" s="62"/>
      <c r="L21" s="64"/>
      <c r="M21" s="64"/>
      <c r="N21" s="64"/>
      <c r="O21" s="376"/>
    </row>
    <row r="22" spans="1:17" s="56" customFormat="1">
      <c r="A22" s="318" t="s">
        <v>47</v>
      </c>
      <c r="B22" s="30"/>
      <c r="C22" s="30"/>
      <c r="D22" s="389">
        <f>D13</f>
        <v>-188374</v>
      </c>
      <c r="E22" s="389"/>
      <c r="F22" s="55">
        <f>F13</f>
        <v>378659.84695000062</v>
      </c>
      <c r="G22" s="55"/>
      <c r="H22" s="55">
        <f t="shared" ref="H22:O22" si="18">H13</f>
        <v>463135.41644230019</v>
      </c>
      <c r="I22" s="55"/>
      <c r="J22" s="55">
        <f t="shared" ref="J22:O22" si="19">J13</f>
        <v>564726.41101674084</v>
      </c>
      <c r="K22" s="55"/>
      <c r="L22" s="55">
        <f t="shared" ref="L22:O22" si="20">L13</f>
        <v>676461.5651964806</v>
      </c>
      <c r="M22" s="55"/>
      <c r="N22" s="55">
        <f t="shared" ref="N22:O22" si="21">N13</f>
        <v>788771.53018743545</v>
      </c>
      <c r="O22" s="377"/>
    </row>
    <row r="23" spans="1:17" s="56" customFormat="1">
      <c r="A23" s="318" t="s">
        <v>290</v>
      </c>
      <c r="B23" s="30"/>
      <c r="C23" s="30"/>
      <c r="D23" s="389">
        <f>D16</f>
        <v>-2897255</v>
      </c>
      <c r="E23" s="389"/>
      <c r="F23" s="55">
        <f>F16</f>
        <v>56798.97704250009</v>
      </c>
      <c r="G23" s="55"/>
      <c r="H23" s="55">
        <f t="shared" ref="H23:O23" si="22">H16</f>
        <v>78733.020795191042</v>
      </c>
      <c r="I23" s="55"/>
      <c r="J23" s="55">
        <f t="shared" ref="J23:O23" si="23">J16</f>
        <v>107298.01809318076</v>
      </c>
      <c r="K23" s="55"/>
      <c r="L23" s="55">
        <f t="shared" ref="L23:O23" si="24">L16</f>
        <v>142056.92869126092</v>
      </c>
      <c r="M23" s="55"/>
      <c r="N23" s="55">
        <f t="shared" ref="N23:O23" si="25">N16</f>
        <v>173529.7366412358</v>
      </c>
      <c r="O23" s="377"/>
    </row>
    <row r="24" spans="1:17" s="56" customFormat="1">
      <c r="A24" s="318" t="s">
        <v>291</v>
      </c>
      <c r="B24" s="30"/>
      <c r="C24" s="30"/>
      <c r="D24" s="389">
        <f>D22-D23</f>
        <v>2708881</v>
      </c>
      <c r="E24" s="389"/>
      <c r="F24" s="55">
        <f>F22-F23</f>
        <v>321860.86990750051</v>
      </c>
      <c r="G24" s="55"/>
      <c r="H24" s="55">
        <f t="shared" ref="H24" si="26">H22-H23</f>
        <v>384402.39564710914</v>
      </c>
      <c r="I24" s="55"/>
      <c r="J24" s="55">
        <f t="shared" ref="J24" si="27">J22-J23</f>
        <v>457428.39292356011</v>
      </c>
      <c r="K24" s="55"/>
      <c r="L24" s="55">
        <f t="shared" ref="L24" si="28">L22-L23</f>
        <v>534404.63650521962</v>
      </c>
      <c r="M24" s="55"/>
      <c r="N24" s="55">
        <f t="shared" ref="N24" si="29">N22-N23</f>
        <v>615241.79354619968</v>
      </c>
      <c r="O24" s="377"/>
    </row>
    <row r="25" spans="1:17" s="56" customFormat="1">
      <c r="A25" s="318" t="s">
        <v>292</v>
      </c>
      <c r="B25" s="30"/>
      <c r="C25" s="30"/>
      <c r="D25" s="389">
        <f>D15</f>
        <v>135227</v>
      </c>
      <c r="E25" s="389"/>
      <c r="F25" s="55">
        <f>F15</f>
        <v>136317.54490200002</v>
      </c>
      <c r="G25" s="55"/>
      <c r="H25" s="55">
        <f t="shared" ref="H25:O25" si="30">H15</f>
        <v>144169.57318284502</v>
      </c>
      <c r="I25" s="55"/>
      <c r="J25" s="55">
        <f t="shared" ref="J25:O25" si="31">J15</f>
        <v>150862.62694304343</v>
      </c>
      <c r="K25" s="55"/>
      <c r="L25" s="55">
        <f t="shared" ref="L25:O25" si="32">L15</f>
        <v>158708.29029609743</v>
      </c>
      <c r="M25" s="55"/>
      <c r="N25" s="55">
        <f t="shared" ref="N25:O25" si="33">N15</f>
        <v>167033.97109851564</v>
      </c>
      <c r="O25" s="377"/>
    </row>
    <row r="26" spans="1:17" s="56" customFormat="1">
      <c r="A26" s="318" t="s">
        <v>293</v>
      </c>
      <c r="B26" s="30"/>
      <c r="C26" s="30"/>
      <c r="D26" s="389">
        <f>D17</f>
        <v>-52822</v>
      </c>
      <c r="E26" s="389"/>
      <c r="F26" s="55">
        <f>F17</f>
        <v>68847.244900000005</v>
      </c>
      <c r="G26" s="55"/>
      <c r="H26" s="55">
        <f t="shared" ref="H26:O26" si="34">H17</f>
        <v>82169.186788149993</v>
      </c>
      <c r="I26" s="55"/>
      <c r="J26" s="55">
        <f t="shared" ref="J26:O26" si="35">J17</f>
        <v>96810.241888584016</v>
      </c>
      <c r="K26" s="55"/>
      <c r="L26" s="55">
        <f t="shared" ref="L26:O26" si="36">L17</f>
        <v>112743.59419941346</v>
      </c>
      <c r="M26" s="55"/>
      <c r="N26" s="55">
        <f t="shared" ref="N26:O26" si="37">N17</f>
        <v>139194.97591542971</v>
      </c>
      <c r="O26" s="377"/>
    </row>
    <row r="27" spans="1:17" s="56" customFormat="1">
      <c r="A27" s="318" t="s">
        <v>294</v>
      </c>
      <c r="B27" s="30"/>
      <c r="C27" s="30"/>
      <c r="D27" s="389">
        <f>D18</f>
        <v>-1606306</v>
      </c>
      <c r="E27" s="389"/>
      <c r="F27" s="55">
        <f>F18</f>
        <v>-895014.18370000005</v>
      </c>
      <c r="G27" s="55"/>
      <c r="H27" s="55">
        <f t="shared" ref="H27:O27" si="38">H18</f>
        <v>-933740.75895625004</v>
      </c>
      <c r="I27" s="55"/>
      <c r="J27" s="55">
        <f t="shared" ref="J27:O27" si="39">J18</f>
        <v>-968102.4188858401</v>
      </c>
      <c r="K27" s="55"/>
      <c r="L27" s="55">
        <f t="shared" ref="L27:O27" si="40">L18</f>
        <v>-997347.17945634993</v>
      </c>
      <c r="M27" s="55"/>
      <c r="N27" s="55">
        <f t="shared" ref="N27:O27" si="41">N18</f>
        <v>-1020763.1567131513</v>
      </c>
      <c r="O27" s="377"/>
    </row>
    <row r="28" spans="1:17" s="56" customFormat="1">
      <c r="A28" s="378" t="s">
        <v>225</v>
      </c>
      <c r="B28" s="111"/>
      <c r="C28" s="111"/>
      <c r="D28" s="389">
        <v>1115616</v>
      </c>
      <c r="E28" s="389"/>
      <c r="F28" s="31">
        <f>F24+F25-F26-F27</f>
        <v>1284345.3536095007</v>
      </c>
      <c r="G28" s="31"/>
      <c r="H28" s="31">
        <f t="shared" ref="H28" si="42">H24+H25-H26-H27</f>
        <v>1380143.5409980542</v>
      </c>
      <c r="I28" s="31"/>
      <c r="J28" s="31">
        <f t="shared" ref="J28" si="43">J24+J25-J26-J27</f>
        <v>1479583.1968638597</v>
      </c>
      <c r="K28" s="31"/>
      <c r="L28" s="31">
        <f t="shared" ref="L28" si="44">L24+L25-L26-L27</f>
        <v>1577716.5120582534</v>
      </c>
      <c r="M28" s="31"/>
      <c r="N28" s="31">
        <f t="shared" ref="N28" si="45">N24+N25-N26-N27</f>
        <v>1663843.9454424367</v>
      </c>
      <c r="O28" s="367"/>
      <c r="P28" s="48"/>
      <c r="Q28" s="60"/>
    </row>
    <row r="29" spans="1:17">
      <c r="A29" s="320" t="s">
        <v>272</v>
      </c>
      <c r="B29" s="37"/>
      <c r="C29" s="37"/>
      <c r="D29" s="388">
        <f>D28/D6</f>
        <v>0.17662601339621653</v>
      </c>
      <c r="E29" s="388">
        <f>D28/D6</f>
        <v>0.17662601339621653</v>
      </c>
      <c r="F29" s="52">
        <f>F28/F6</f>
        <v>0.1865500000000001</v>
      </c>
      <c r="G29" s="52">
        <f>F28/F6</f>
        <v>0.1865500000000001</v>
      </c>
      <c r="H29" s="52">
        <f t="shared" ref="H29" si="46">H28/H6</f>
        <v>0.18476000000000001</v>
      </c>
      <c r="I29" s="52">
        <f>H28/H6</f>
        <v>0.18476000000000001</v>
      </c>
      <c r="J29" s="52">
        <f t="shared" ref="J29" si="47">J28/J6</f>
        <v>0.18340000000000009</v>
      </c>
      <c r="K29" s="52">
        <f>J28/J6</f>
        <v>0.18340000000000009</v>
      </c>
      <c r="L29" s="52">
        <f t="shared" ref="L29" si="48">L28/L6</f>
        <v>0.18191999999999997</v>
      </c>
      <c r="M29" s="52">
        <f>L28/L6</f>
        <v>0.18191999999999997</v>
      </c>
      <c r="N29" s="52">
        <f t="shared" ref="N29" si="49">N28/N6</f>
        <v>0.17930000000000001</v>
      </c>
      <c r="O29" s="370">
        <f>N28/N6</f>
        <v>0.17930000000000001</v>
      </c>
    </row>
    <row r="30" spans="1:17" ht="15.75" thickBot="1">
      <c r="A30" s="379"/>
      <c r="B30" s="380"/>
      <c r="C30" s="380"/>
      <c r="D30" s="381"/>
      <c r="E30" s="382"/>
      <c r="F30" s="382"/>
      <c r="G30" s="382"/>
      <c r="H30" s="382"/>
      <c r="I30" s="382"/>
      <c r="J30" s="382"/>
      <c r="K30" s="382"/>
      <c r="L30" s="382"/>
      <c r="M30" s="382"/>
      <c r="N30" s="382"/>
      <c r="O30" s="383"/>
    </row>
    <row r="31" spans="1:17" ht="15.75" thickTop="1"/>
  </sheetData>
  <mergeCells count="169">
    <mergeCell ref="A3:C4"/>
    <mergeCell ref="D3:E4"/>
    <mergeCell ref="F3:G4"/>
    <mergeCell ref="H3:I4"/>
    <mergeCell ref="J3:K4"/>
    <mergeCell ref="L3:M4"/>
    <mergeCell ref="N3:O4"/>
    <mergeCell ref="A1:G1"/>
    <mergeCell ref="L25:M25"/>
    <mergeCell ref="N25:O25"/>
    <mergeCell ref="H24:I24"/>
    <mergeCell ref="J24:K24"/>
    <mergeCell ref="L24:M24"/>
    <mergeCell ref="N24:O24"/>
    <mergeCell ref="L27:M27"/>
    <mergeCell ref="N27:O27"/>
    <mergeCell ref="H26:I26"/>
    <mergeCell ref="J26:K26"/>
    <mergeCell ref="L26:M26"/>
    <mergeCell ref="N26:O26"/>
    <mergeCell ref="F24:G24"/>
    <mergeCell ref="F25:G25"/>
    <mergeCell ref="F26:G26"/>
    <mergeCell ref="F27:G27"/>
    <mergeCell ref="H27:I27"/>
    <mergeCell ref="J27:K27"/>
    <mergeCell ref="H25:I25"/>
    <mergeCell ref="J25:K25"/>
    <mergeCell ref="F22:G22"/>
    <mergeCell ref="H22:I22"/>
    <mergeCell ref="J22:K22"/>
    <mergeCell ref="L22:M22"/>
    <mergeCell ref="N22:O22"/>
    <mergeCell ref="F23:G23"/>
    <mergeCell ref="H23:I23"/>
    <mergeCell ref="J23:K23"/>
    <mergeCell ref="L23:M23"/>
    <mergeCell ref="N23:O23"/>
    <mergeCell ref="D22:E22"/>
    <mergeCell ref="D23:E23"/>
    <mergeCell ref="D24:E24"/>
    <mergeCell ref="D25:E25"/>
    <mergeCell ref="D26:E26"/>
    <mergeCell ref="D27:E27"/>
    <mergeCell ref="A19:C19"/>
    <mergeCell ref="A30:C30"/>
    <mergeCell ref="A22:C22"/>
    <mergeCell ref="A23:C23"/>
    <mergeCell ref="A24:C24"/>
    <mergeCell ref="A25:C25"/>
    <mergeCell ref="A26:C26"/>
    <mergeCell ref="A27:C27"/>
    <mergeCell ref="D16:E16"/>
    <mergeCell ref="F16:G16"/>
    <mergeCell ref="H16:I16"/>
    <mergeCell ref="J16:K16"/>
    <mergeCell ref="L16:M16"/>
    <mergeCell ref="L19:M19"/>
    <mergeCell ref="J19:K19"/>
    <mergeCell ref="H19:I19"/>
    <mergeCell ref="F19:G19"/>
    <mergeCell ref="D19:E19"/>
    <mergeCell ref="N18:O18"/>
    <mergeCell ref="N19:O19"/>
    <mergeCell ref="N28:O28"/>
    <mergeCell ref="N29:O29"/>
    <mergeCell ref="N14:O14"/>
    <mergeCell ref="N15:O15"/>
    <mergeCell ref="N17:O17"/>
    <mergeCell ref="N16:O16"/>
    <mergeCell ref="N9:O9"/>
    <mergeCell ref="N10:O10"/>
    <mergeCell ref="N11:O11"/>
    <mergeCell ref="N12:O12"/>
    <mergeCell ref="N13:O13"/>
    <mergeCell ref="N6:O6"/>
    <mergeCell ref="N7:O7"/>
    <mergeCell ref="N5:O5"/>
    <mergeCell ref="N8:O8"/>
    <mergeCell ref="J28:K28"/>
    <mergeCell ref="L28:M28"/>
    <mergeCell ref="A29:C29"/>
    <mergeCell ref="D29:E29"/>
    <mergeCell ref="F29:G29"/>
    <mergeCell ref="H29:I29"/>
    <mergeCell ref="J29:K29"/>
    <mergeCell ref="L29:M29"/>
    <mergeCell ref="A28:C28"/>
    <mergeCell ref="D28:E28"/>
    <mergeCell ref="F28:G28"/>
    <mergeCell ref="H28:I28"/>
    <mergeCell ref="J18:K18"/>
    <mergeCell ref="L18:M18"/>
    <mergeCell ref="A18:C18"/>
    <mergeCell ref="D18:E18"/>
    <mergeCell ref="F18:G18"/>
    <mergeCell ref="H18:I18"/>
    <mergeCell ref="J17:K17"/>
    <mergeCell ref="L17:M17"/>
    <mergeCell ref="A17:C17"/>
    <mergeCell ref="D17:E17"/>
    <mergeCell ref="F17:G17"/>
    <mergeCell ref="H17:I17"/>
    <mergeCell ref="J15:K15"/>
    <mergeCell ref="L15:M15"/>
    <mergeCell ref="A15:C15"/>
    <mergeCell ref="D15:E15"/>
    <mergeCell ref="F15:G15"/>
    <mergeCell ref="H15:I15"/>
    <mergeCell ref="J14:K14"/>
    <mergeCell ref="L14:M14"/>
    <mergeCell ref="A14:C14"/>
    <mergeCell ref="D14:E14"/>
    <mergeCell ref="F14:G14"/>
    <mergeCell ref="H14:I14"/>
    <mergeCell ref="J12:K12"/>
    <mergeCell ref="L12:M12"/>
    <mergeCell ref="A13:C13"/>
    <mergeCell ref="D13:E13"/>
    <mergeCell ref="F13:G13"/>
    <mergeCell ref="H13:I13"/>
    <mergeCell ref="J13:K13"/>
    <mergeCell ref="L13:M13"/>
    <mergeCell ref="A12:C12"/>
    <mergeCell ref="D12:E12"/>
    <mergeCell ref="F12:G12"/>
    <mergeCell ref="H12:I12"/>
    <mergeCell ref="J11:K11"/>
    <mergeCell ref="L11:M11"/>
    <mergeCell ref="A11:C11"/>
    <mergeCell ref="D11:E11"/>
    <mergeCell ref="F11:G11"/>
    <mergeCell ref="H11:I11"/>
    <mergeCell ref="J9:K9"/>
    <mergeCell ref="L9:M9"/>
    <mergeCell ref="A10:C10"/>
    <mergeCell ref="D10:E10"/>
    <mergeCell ref="F10:G10"/>
    <mergeCell ref="H10:I10"/>
    <mergeCell ref="J10:K10"/>
    <mergeCell ref="L10:M10"/>
    <mergeCell ref="A9:C9"/>
    <mergeCell ref="D9:E9"/>
    <mergeCell ref="F9:G9"/>
    <mergeCell ref="H9:I9"/>
    <mergeCell ref="J8:K8"/>
    <mergeCell ref="L8:M8"/>
    <mergeCell ref="A8:C8"/>
    <mergeCell ref="D8:E8"/>
    <mergeCell ref="F8:G8"/>
    <mergeCell ref="H8:I8"/>
    <mergeCell ref="J6:K6"/>
    <mergeCell ref="L6:M6"/>
    <mergeCell ref="A7:C7"/>
    <mergeCell ref="D7:E7"/>
    <mergeCell ref="F7:G7"/>
    <mergeCell ref="H7:I7"/>
    <mergeCell ref="J7:K7"/>
    <mergeCell ref="L7:M7"/>
    <mergeCell ref="A6:C6"/>
    <mergeCell ref="D6:E6"/>
    <mergeCell ref="F6:G6"/>
    <mergeCell ref="H6:I6"/>
    <mergeCell ref="A5:C5"/>
    <mergeCell ref="D5:E5"/>
    <mergeCell ref="F5:G5"/>
    <mergeCell ref="H5:I5"/>
    <mergeCell ref="J5:K5"/>
    <mergeCell ref="L5:M5"/>
  </mergeCells>
  <phoneticPr fontId="2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7DE3E-F442-4C00-A907-1B4237E49F5C}">
  <dimension ref="A1:X40"/>
  <sheetViews>
    <sheetView showGridLines="0" workbookViewId="0">
      <selection activeCell="A3" sqref="A3:XFD4"/>
    </sheetView>
  </sheetViews>
  <sheetFormatPr defaultRowHeight="15"/>
  <cols>
    <col min="3" max="3" width="11.5703125" bestFit="1" customWidth="1"/>
    <col min="4" max="4" width="12.7109375" bestFit="1" customWidth="1"/>
    <col min="14" max="14" width="14.28515625" bestFit="1" customWidth="1"/>
    <col min="18" max="18" width="11.28515625" bestFit="1" customWidth="1"/>
    <col min="19" max="22" width="14.28515625" bestFit="1" customWidth="1"/>
    <col min="23" max="24" width="11.28515625" bestFit="1" customWidth="1"/>
  </cols>
  <sheetData>
    <row r="1" spans="1:24" ht="24">
      <c r="A1" s="260" t="s">
        <v>356</v>
      </c>
      <c r="B1" s="260"/>
      <c r="C1" s="260"/>
      <c r="D1" s="260"/>
      <c r="E1" s="260"/>
      <c r="F1" s="260"/>
      <c r="G1" s="260"/>
    </row>
    <row r="4" spans="1:24" ht="15.75" thickBot="1">
      <c r="A4" s="68" t="s">
        <v>365</v>
      </c>
      <c r="B4" s="68"/>
      <c r="C4" s="68"/>
      <c r="L4" s="82" t="s">
        <v>365</v>
      </c>
      <c r="M4" s="82"/>
      <c r="N4" s="93" t="s">
        <v>284</v>
      </c>
      <c r="O4" s="93"/>
    </row>
    <row r="5" spans="1:24">
      <c r="A5" s="70" t="s">
        <v>284</v>
      </c>
      <c r="B5" s="70"/>
      <c r="C5" s="70"/>
      <c r="D5" s="78">
        <f>N7</f>
        <v>19290832.862153817</v>
      </c>
      <c r="G5" s="70" t="s">
        <v>260</v>
      </c>
      <c r="H5" s="70"/>
      <c r="I5" s="51">
        <v>0.02</v>
      </c>
      <c r="L5" s="75" t="s">
        <v>358</v>
      </c>
      <c r="M5" s="75"/>
      <c r="N5" s="72">
        <f>(L17*(1+I5))/(I6-I5)</f>
        <v>24244583.205018368</v>
      </c>
      <c r="O5" s="72"/>
    </row>
    <row r="6" spans="1:24">
      <c r="A6" s="70" t="s">
        <v>285</v>
      </c>
      <c r="B6" s="70"/>
      <c r="C6" s="70"/>
      <c r="D6" s="78">
        <f>D5*L18</f>
        <v>12537717.744949305</v>
      </c>
      <c r="G6" s="70" t="s">
        <v>259</v>
      </c>
      <c r="H6" s="70"/>
      <c r="I6" s="51">
        <v>0.09</v>
      </c>
      <c r="L6" s="70" t="s">
        <v>289</v>
      </c>
      <c r="M6" s="70"/>
      <c r="N6" s="73">
        <f>I7*'FORECAST MODEL &amp; FCF BUILD UP'!N11</f>
        <v>14337082.519289266</v>
      </c>
      <c r="O6" s="73"/>
    </row>
    <row r="7" spans="1:24">
      <c r="A7" s="70" t="s">
        <v>286</v>
      </c>
      <c r="B7" s="70"/>
      <c r="C7" s="70"/>
      <c r="D7" s="78">
        <f>SUM(D19:M19)+D6</f>
        <v>18219243.697889067</v>
      </c>
      <c r="G7" s="70" t="s">
        <v>360</v>
      </c>
      <c r="H7" s="70"/>
      <c r="I7" s="79">
        <v>15</v>
      </c>
      <c r="J7" s="77"/>
      <c r="L7" s="70" t="s">
        <v>359</v>
      </c>
      <c r="M7" s="70"/>
      <c r="N7" s="73">
        <f>AVERAGE(N5:N6)</f>
        <v>19290832.862153817</v>
      </c>
      <c r="O7" s="73"/>
    </row>
    <row r="8" spans="1:24">
      <c r="A8" s="84" t="s">
        <v>249</v>
      </c>
      <c r="B8" s="84"/>
      <c r="C8" s="84"/>
      <c r="D8" s="78">
        <f>'HISTORICAL FINANCIALS'!D24:E24</f>
        <v>1132009</v>
      </c>
      <c r="G8" s="71"/>
      <c r="H8" s="71"/>
      <c r="I8" s="79"/>
      <c r="J8" s="77"/>
      <c r="L8" s="71"/>
      <c r="M8" s="71"/>
      <c r="N8" s="76"/>
      <c r="O8" s="76"/>
    </row>
    <row r="9" spans="1:24">
      <c r="A9" s="84" t="s">
        <v>361</v>
      </c>
      <c r="B9" s="84"/>
      <c r="C9" s="84"/>
      <c r="D9" s="78">
        <f>'HISTORICAL FINANCIALS'!D25:E25</f>
        <v>0</v>
      </c>
      <c r="G9" s="71"/>
      <c r="H9" s="71"/>
      <c r="I9" s="79"/>
      <c r="J9" s="77"/>
      <c r="L9" s="71"/>
      <c r="M9" s="71"/>
      <c r="N9" s="76"/>
      <c r="O9" s="76"/>
    </row>
    <row r="10" spans="1:24">
      <c r="A10" s="70" t="s">
        <v>287</v>
      </c>
      <c r="B10" s="70"/>
      <c r="C10" s="70"/>
      <c r="D10" s="78">
        <f>D7-D9+D8</f>
        <v>19351252.697889067</v>
      </c>
    </row>
    <row r="11" spans="1:24">
      <c r="A11" s="70" t="s">
        <v>295</v>
      </c>
      <c r="B11" s="70"/>
      <c r="C11" s="70"/>
      <c r="D11" s="80">
        <v>0.05</v>
      </c>
    </row>
    <row r="12" spans="1:24" ht="15.75" thickBot="1">
      <c r="A12" s="83" t="s">
        <v>288</v>
      </c>
      <c r="B12" s="83"/>
      <c r="C12" s="83"/>
      <c r="D12" s="125">
        <f>(1+D11)*D10</f>
        <v>20318815.33278352</v>
      </c>
    </row>
    <row r="13" spans="1:24" ht="15.75" thickTop="1"/>
    <row r="15" spans="1:24" ht="15.75" customHeight="1" thickBot="1">
      <c r="A15" s="68" t="s">
        <v>365</v>
      </c>
      <c r="B15" s="68"/>
      <c r="C15" s="68"/>
      <c r="D15" s="69" t="s">
        <v>351</v>
      </c>
      <c r="E15" s="69"/>
      <c r="F15" s="69" t="s">
        <v>352</v>
      </c>
      <c r="G15" s="69"/>
      <c r="H15" s="69" t="s">
        <v>353</v>
      </c>
      <c r="I15" s="69"/>
      <c r="J15" s="69" t="s">
        <v>354</v>
      </c>
      <c r="K15" s="69"/>
      <c r="L15" s="69" t="s">
        <v>355</v>
      </c>
      <c r="M15" s="69"/>
      <c r="O15" s="87" t="s">
        <v>412</v>
      </c>
      <c r="P15" s="87"/>
      <c r="Q15" s="87"/>
      <c r="R15" s="92">
        <f>D12</f>
        <v>20318815.33278352</v>
      </c>
      <c r="S15" s="95">
        <v>1.4999999999999999E-2</v>
      </c>
      <c r="T15" s="94">
        <v>0.02</v>
      </c>
      <c r="U15" s="95">
        <v>2.5000000000000001E-2</v>
      </c>
      <c r="V15" s="94">
        <v>2.5000000000000001E-2</v>
      </c>
      <c r="W15" s="95">
        <v>3.5000000000000003E-2</v>
      </c>
      <c r="X15" s="94">
        <v>0.04</v>
      </c>
    </row>
    <row r="16" spans="1:24">
      <c r="A16" s="30" t="s">
        <v>276</v>
      </c>
      <c r="B16" s="30"/>
      <c r="C16" s="30"/>
      <c r="D16" s="88">
        <v>1</v>
      </c>
      <c r="E16" s="88"/>
      <c r="F16" s="88">
        <v>2</v>
      </c>
      <c r="G16" s="88"/>
      <c r="H16" s="88">
        <v>3</v>
      </c>
      <c r="I16" s="88"/>
      <c r="J16" s="88">
        <v>4</v>
      </c>
      <c r="K16" s="88"/>
      <c r="L16" s="88">
        <v>5</v>
      </c>
      <c r="M16" s="88"/>
      <c r="R16" s="95">
        <v>7.4999999999999997E-2</v>
      </c>
      <c r="S16" s="90">
        <f t="dataTable" ref="S16:X21" dt2D="1" dtr="1" r1="I5" r2="I6"/>
        <v>22941049.387888819</v>
      </c>
      <c r="T16" s="90">
        <v>23932096.04637605</v>
      </c>
      <c r="U16" s="90">
        <v>25121352.036560714</v>
      </c>
      <c r="V16" s="90">
        <v>25121352.036560714</v>
      </c>
      <c r="W16" s="90">
        <v>28391806.009568561</v>
      </c>
      <c r="X16" s="90">
        <v>30727844.561717015</v>
      </c>
    </row>
    <row r="17" spans="1:24">
      <c r="A17" s="85" t="s">
        <v>225</v>
      </c>
      <c r="B17" s="85"/>
      <c r="C17" s="85"/>
      <c r="D17" s="73">
        <f>'FORECAST MODEL &amp; FCF BUILD UP'!F28</f>
        <v>1284345.3536095007</v>
      </c>
      <c r="E17" s="73"/>
      <c r="F17" s="73">
        <f>'FORECAST MODEL &amp; FCF BUILD UP'!H28</f>
        <v>1380143.5409980542</v>
      </c>
      <c r="G17" s="73"/>
      <c r="H17" s="73">
        <f>'FORECAST MODEL &amp; FCF BUILD UP'!J28</f>
        <v>1479583.1968638597</v>
      </c>
      <c r="I17" s="73"/>
      <c r="J17" s="73">
        <f>'FORECAST MODEL &amp; FCF BUILD UP'!L28</f>
        <v>1577716.5120582534</v>
      </c>
      <c r="K17" s="73"/>
      <c r="L17" s="73">
        <f>'FORECAST MODEL &amp; FCF BUILD UP'!N28</f>
        <v>1663843.9454424367</v>
      </c>
      <c r="M17" s="73"/>
      <c r="R17" s="94">
        <v>0.08</v>
      </c>
      <c r="S17" s="90">
        <v>21725716.41715027</v>
      </c>
      <c r="T17" s="90">
        <v>22548872.647156399</v>
      </c>
      <c r="U17" s="90">
        <v>23521693.646254554</v>
      </c>
      <c r="V17" s="90">
        <v>23521693.646254554</v>
      </c>
      <c r="W17" s="90">
        <v>26115882.977182966</v>
      </c>
      <c r="X17" s="90">
        <v>27899388.142196257</v>
      </c>
    </row>
    <row r="18" spans="1:24">
      <c r="A18" s="85" t="s">
        <v>277</v>
      </c>
      <c r="B18" s="85"/>
      <c r="C18" s="85"/>
      <c r="D18" s="86">
        <f>1/(1+$I$6)^D16</f>
        <v>0.9174311926605504</v>
      </c>
      <c r="E18" s="86"/>
      <c r="F18" s="86">
        <f t="shared" ref="F18:M18" si="0">1/(1+$I$6)^F16</f>
        <v>0.84167999326655996</v>
      </c>
      <c r="G18" s="86"/>
      <c r="H18" s="86">
        <f t="shared" ref="H18:M18" si="1">1/(1+$I$6)^H16</f>
        <v>0.77218348006106419</v>
      </c>
      <c r="I18" s="86"/>
      <c r="J18" s="86">
        <f t="shared" ref="J18:M18" si="2">1/(1+$I$6)^J16</f>
        <v>0.7084252110651964</v>
      </c>
      <c r="K18" s="86"/>
      <c r="L18" s="86">
        <f>1/(1+$I$6)^L16</f>
        <v>0.64993138629834524</v>
      </c>
      <c r="M18" s="86"/>
      <c r="R18" s="95">
        <v>8.5000000000000006E-2</v>
      </c>
      <c r="S18" s="90">
        <v>20665278.803953715</v>
      </c>
      <c r="T18" s="90">
        <v>21357925.152453449</v>
      </c>
      <c r="U18" s="90">
        <v>22166012.55903646</v>
      </c>
      <c r="V18" s="90">
        <v>22166012.55903646</v>
      </c>
      <c r="W18" s="90">
        <v>24267039.816152297</v>
      </c>
      <c r="X18" s="90">
        <v>25667724.654229525</v>
      </c>
    </row>
    <row r="19" spans="1:24">
      <c r="A19" s="30" t="s">
        <v>278</v>
      </c>
      <c r="B19" s="30"/>
      <c r="C19" s="30"/>
      <c r="D19" s="74">
        <f>D17*D18</f>
        <v>1178298.4895500005</v>
      </c>
      <c r="E19" s="74"/>
      <c r="F19" s="74">
        <f t="shared" ref="F19" si="3">F17*F18</f>
        <v>1161639.2062941284</v>
      </c>
      <c r="G19" s="74"/>
      <c r="H19" s="74">
        <f t="shared" ref="H19" si="4">H17*H18</f>
        <v>1142509.7019942098</v>
      </c>
      <c r="I19" s="74"/>
      <c r="J19" s="74">
        <f t="shared" ref="J19" si="5">J17*J18</f>
        <v>1117694.1530559137</v>
      </c>
      <c r="K19" s="74"/>
      <c r="L19" s="74">
        <f t="shared" ref="L19" si="6">L17*L18</f>
        <v>1081384.4020455112</v>
      </c>
      <c r="M19" s="74"/>
      <c r="R19" s="94">
        <v>0.09</v>
      </c>
      <c r="S19" s="90">
        <v>19729460.833668716</v>
      </c>
      <c r="T19" s="91">
        <v>20318815.33278352</v>
      </c>
      <c r="U19" s="90">
        <v>20998839.754839063</v>
      </c>
      <c r="V19" s="90">
        <v>20998839.754839063</v>
      </c>
      <c r="W19" s="90">
        <v>22729811.010980446</v>
      </c>
      <c r="X19" s="90">
        <v>23854942.32747234</v>
      </c>
    </row>
    <row r="20" spans="1:24">
      <c r="R20" s="95">
        <v>9.5000000000000001E-2</v>
      </c>
      <c r="S20" s="90">
        <v>18895528.133574259</v>
      </c>
      <c r="T20" s="90">
        <v>19401858.729682207</v>
      </c>
      <c r="U20" s="90">
        <v>19980522.268091276</v>
      </c>
      <c r="V20" s="90">
        <v>19980522.268091276</v>
      </c>
      <c r="W20" s="90">
        <v>21427181.114113968</v>
      </c>
      <c r="X20" s="90">
        <v>22347782.197946586</v>
      </c>
    </row>
    <row r="21" spans="1:24">
      <c r="R21" s="94">
        <v>0.1</v>
      </c>
      <c r="S21" s="90">
        <v>18146070.793463793</v>
      </c>
      <c r="T21" s="90">
        <v>18584765.349523772</v>
      </c>
      <c r="U21" s="90">
        <v>19081952.513058409</v>
      </c>
      <c r="V21" s="90">
        <v>19081952.513058409</v>
      </c>
      <c r="W21" s="90">
        <v>20305797.838682137</v>
      </c>
      <c r="X21" s="90">
        <v>21070701.167196967</v>
      </c>
    </row>
    <row r="23" spans="1:24">
      <c r="A23" s="70" t="s">
        <v>362</v>
      </c>
      <c r="B23" s="70"/>
      <c r="C23" s="70"/>
      <c r="D23" s="98">
        <v>400856000</v>
      </c>
      <c r="E23" s="97"/>
    </row>
    <row r="25" spans="1:24" ht="15.75" thickBot="1">
      <c r="A25" s="82" t="s">
        <v>365</v>
      </c>
      <c r="B25" s="82"/>
      <c r="C25" s="93" t="s">
        <v>363</v>
      </c>
      <c r="D25" s="93"/>
      <c r="F25" s="103" t="s">
        <v>367</v>
      </c>
      <c r="G25" s="101"/>
      <c r="H25" s="102"/>
      <c r="I25" s="102"/>
    </row>
    <row r="26" spans="1:24">
      <c r="A26" s="105" t="s">
        <v>286</v>
      </c>
      <c r="B26" s="105"/>
      <c r="C26" s="72">
        <f>D7</f>
        <v>18219243.697889067</v>
      </c>
      <c r="D26" s="72"/>
      <c r="F26" s="107" t="s">
        <v>366</v>
      </c>
      <c r="G26" s="107"/>
      <c r="I26" s="109">
        <f>D40</f>
        <v>16.534593469974254</v>
      </c>
    </row>
    <row r="27" spans="1:24">
      <c r="A27" s="106" t="str">
        <f>"+ Cash"</f>
        <v>+ Cash</v>
      </c>
      <c r="B27" s="106"/>
      <c r="C27" s="73">
        <f>D8</f>
        <v>1132009</v>
      </c>
      <c r="D27" s="73"/>
      <c r="F27" s="108" t="s">
        <v>368</v>
      </c>
      <c r="G27" s="108"/>
      <c r="I27" s="110">
        <f>I28-I26</f>
        <v>31.740230152196965</v>
      </c>
    </row>
    <row r="28" spans="1:24">
      <c r="A28" s="106" t="str">
        <f>"- Debt"</f>
        <v>- Debt</v>
      </c>
      <c r="B28" s="106"/>
      <c r="C28" s="73">
        <f>D9</f>
        <v>0</v>
      </c>
      <c r="D28" s="73"/>
      <c r="F28" s="108" t="s">
        <v>363</v>
      </c>
      <c r="G28" s="108"/>
      <c r="I28" s="110">
        <f>D31</f>
        <v>48.274823622171219</v>
      </c>
    </row>
    <row r="29" spans="1:24">
      <c r="A29" s="106" t="s">
        <v>287</v>
      </c>
      <c r="B29" s="106"/>
      <c r="D29" s="99">
        <f>C26+C27-C28</f>
        <v>19351252.697889067</v>
      </c>
      <c r="E29" s="96"/>
    </row>
    <row r="31" spans="1:24">
      <c r="A31" s="70" t="s">
        <v>364</v>
      </c>
      <c r="B31" s="70"/>
      <c r="D31" s="100">
        <f>D29/D23*1000</f>
        <v>48.274823622171219</v>
      </c>
    </row>
    <row r="34" spans="1:4" ht="15.75" thickBot="1">
      <c r="A34" s="82" t="s">
        <v>365</v>
      </c>
      <c r="B34" s="82"/>
      <c r="C34" s="93" t="s">
        <v>366</v>
      </c>
      <c r="D34" s="93"/>
    </row>
    <row r="35" spans="1:4">
      <c r="A35" s="105" t="s">
        <v>286</v>
      </c>
      <c r="B35" s="105"/>
      <c r="C35" s="72">
        <f>7.76*1000000</f>
        <v>7760000</v>
      </c>
      <c r="D35" s="72"/>
    </row>
    <row r="36" spans="1:4">
      <c r="A36" s="106" t="str">
        <f>"+ Debt"</f>
        <v>+ Debt</v>
      </c>
      <c r="B36" s="106"/>
      <c r="C36" s="73">
        <v>0</v>
      </c>
      <c r="D36" s="73"/>
    </row>
    <row r="37" spans="1:4">
      <c r="A37" s="106" t="str">
        <f>"- Cash"</f>
        <v>- Cash</v>
      </c>
      <c r="B37" s="106"/>
      <c r="C37" s="73">
        <f>D8</f>
        <v>1132009</v>
      </c>
      <c r="D37" s="73"/>
    </row>
    <row r="38" spans="1:4">
      <c r="A38" s="106" t="s">
        <v>287</v>
      </c>
      <c r="B38" s="106"/>
      <c r="D38" s="99">
        <f>C35+C36-C37</f>
        <v>6627991</v>
      </c>
    </row>
    <row r="40" spans="1:4">
      <c r="A40" s="70" t="s">
        <v>364</v>
      </c>
      <c r="B40" s="70"/>
      <c r="D40" s="100">
        <f>D38/D23*1000</f>
        <v>16.534593469974254</v>
      </c>
    </row>
  </sheetData>
  <mergeCells count="71">
    <mergeCell ref="A36:B36"/>
    <mergeCell ref="C36:D36"/>
    <mergeCell ref="A37:B37"/>
    <mergeCell ref="C37:D37"/>
    <mergeCell ref="A38:B38"/>
    <mergeCell ref="A40:B40"/>
    <mergeCell ref="A29:B29"/>
    <mergeCell ref="A31:B31"/>
    <mergeCell ref="A34:B34"/>
    <mergeCell ref="C34:D34"/>
    <mergeCell ref="A35:B35"/>
    <mergeCell ref="C35:D35"/>
    <mergeCell ref="A26:B26"/>
    <mergeCell ref="C26:D26"/>
    <mergeCell ref="A27:B27"/>
    <mergeCell ref="C27:D27"/>
    <mergeCell ref="A28:B28"/>
    <mergeCell ref="C28:D28"/>
    <mergeCell ref="O15:Q15"/>
    <mergeCell ref="A23:C23"/>
    <mergeCell ref="A25:B25"/>
    <mergeCell ref="C25:D25"/>
    <mergeCell ref="A4:C4"/>
    <mergeCell ref="N5:O5"/>
    <mergeCell ref="N6:O6"/>
    <mergeCell ref="N7:O7"/>
    <mergeCell ref="L4:M4"/>
    <mergeCell ref="L16:M16"/>
    <mergeCell ref="N4:O4"/>
    <mergeCell ref="L5:M5"/>
    <mergeCell ref="G7:H7"/>
    <mergeCell ref="A1:G1"/>
    <mergeCell ref="A5:C5"/>
    <mergeCell ref="A6:C6"/>
    <mergeCell ref="D18:E18"/>
    <mergeCell ref="F18:G18"/>
    <mergeCell ref="H18:I18"/>
    <mergeCell ref="G5:H5"/>
    <mergeCell ref="G6:H6"/>
    <mergeCell ref="A16:C16"/>
    <mergeCell ref="F16:G16"/>
    <mergeCell ref="D19:E19"/>
    <mergeCell ref="F19:G19"/>
    <mergeCell ref="H19:I19"/>
    <mergeCell ref="J19:K19"/>
    <mergeCell ref="L19:M19"/>
    <mergeCell ref="L18:M18"/>
    <mergeCell ref="A19:C19"/>
    <mergeCell ref="J18:K18"/>
    <mergeCell ref="A18:C18"/>
    <mergeCell ref="A17:C17"/>
    <mergeCell ref="D17:E17"/>
    <mergeCell ref="D16:E16"/>
    <mergeCell ref="F17:G17"/>
    <mergeCell ref="H17:I17"/>
    <mergeCell ref="J17:K17"/>
    <mergeCell ref="L17:M17"/>
    <mergeCell ref="H16:I16"/>
    <mergeCell ref="J16:K16"/>
    <mergeCell ref="A12:C12"/>
    <mergeCell ref="A11:C11"/>
    <mergeCell ref="L6:M6"/>
    <mergeCell ref="A10:C10"/>
    <mergeCell ref="L7:M7"/>
    <mergeCell ref="A7:C7"/>
    <mergeCell ref="L15:M15"/>
    <mergeCell ref="A15:C15"/>
    <mergeCell ref="D15:E15"/>
    <mergeCell ref="F15:G15"/>
    <mergeCell ref="H15:I15"/>
    <mergeCell ref="J15:K15"/>
  </mergeCells>
  <conditionalFormatting sqref="S16:X21">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6450-CBF9-4765-A5E0-84E380D90374}">
  <dimension ref="A1:Y18"/>
  <sheetViews>
    <sheetView showGridLines="0" workbookViewId="0">
      <selection activeCell="A3" sqref="A3:XFD4"/>
    </sheetView>
  </sheetViews>
  <sheetFormatPr defaultRowHeight="15"/>
  <cols>
    <col min="4" max="4" width="12.7109375" bestFit="1" customWidth="1"/>
    <col min="10" max="10" width="12.7109375" bestFit="1" customWidth="1"/>
    <col min="14" max="14" width="11" bestFit="1" customWidth="1"/>
    <col min="15" max="15" width="11.28515625" bestFit="1" customWidth="1"/>
    <col min="24" max="24" width="13.28515625" bestFit="1" customWidth="1"/>
  </cols>
  <sheetData>
    <row r="1" spans="1:25" ht="24">
      <c r="A1" s="260" t="s">
        <v>308</v>
      </c>
      <c r="B1" s="260"/>
      <c r="C1" s="260"/>
      <c r="D1" s="260"/>
      <c r="E1" s="260"/>
      <c r="F1" s="260"/>
      <c r="G1" s="260"/>
      <c r="H1" s="260"/>
      <c r="I1" s="260"/>
      <c r="J1" s="260"/>
    </row>
    <row r="4" spans="1:25" ht="15.75" customHeight="1" thickBot="1">
      <c r="A4" s="68" t="s">
        <v>365</v>
      </c>
      <c r="B4" s="68"/>
      <c r="C4" s="68"/>
      <c r="D4" s="68"/>
      <c r="E4" s="68"/>
      <c r="F4" s="68"/>
      <c r="G4" s="68"/>
      <c r="H4" s="68"/>
      <c r="I4" s="68"/>
      <c r="J4" s="68"/>
      <c r="L4" s="118" t="s">
        <v>365</v>
      </c>
      <c r="M4" s="118"/>
      <c r="N4" s="118"/>
      <c r="O4" s="118"/>
      <c r="P4" s="118"/>
      <c r="Q4" s="118"/>
      <c r="R4" s="118"/>
      <c r="S4" s="118"/>
      <c r="T4" s="118"/>
      <c r="U4" s="118"/>
      <c r="V4" s="118"/>
      <c r="W4" s="118"/>
    </row>
    <row r="5" spans="1:25" ht="15.75" thickBot="1">
      <c r="A5" s="112" t="s">
        <v>296</v>
      </c>
      <c r="B5" s="112"/>
      <c r="C5" s="112" t="s">
        <v>280</v>
      </c>
      <c r="D5" s="112"/>
      <c r="E5" s="112" t="s">
        <v>297</v>
      </c>
      <c r="F5" s="112"/>
      <c r="G5" s="112" t="s">
        <v>258</v>
      </c>
      <c r="H5" s="112"/>
      <c r="I5" s="112" t="s">
        <v>320</v>
      </c>
      <c r="J5" s="112"/>
      <c r="L5" s="118"/>
      <c r="M5" s="118"/>
      <c r="N5" s="69" t="s">
        <v>351</v>
      </c>
      <c r="O5" s="69"/>
      <c r="P5" s="69" t="s">
        <v>352</v>
      </c>
      <c r="Q5" s="69"/>
      <c r="R5" s="69" t="s">
        <v>353</v>
      </c>
      <c r="S5" s="69"/>
      <c r="T5" s="69" t="s">
        <v>354</v>
      </c>
      <c r="U5" s="69"/>
      <c r="V5" s="69" t="s">
        <v>355</v>
      </c>
      <c r="W5" s="69"/>
    </row>
    <row r="6" spans="1:25" ht="40.5" customHeight="1">
      <c r="A6" s="113" t="s">
        <v>313</v>
      </c>
      <c r="B6" s="113"/>
      <c r="C6" s="113" t="s">
        <v>306</v>
      </c>
      <c r="D6" s="113"/>
      <c r="E6" s="113" t="s">
        <v>307</v>
      </c>
      <c r="F6" s="113"/>
      <c r="G6" s="113" t="s">
        <v>314</v>
      </c>
      <c r="H6" s="113"/>
      <c r="I6" s="114">
        <f>MROUND(0.1*'Income Statement'!L8,100000)</f>
        <v>200000</v>
      </c>
      <c r="J6" s="114"/>
      <c r="L6" s="119" t="s">
        <v>276</v>
      </c>
      <c r="M6" s="119"/>
      <c r="N6" s="120">
        <v>1</v>
      </c>
      <c r="O6" s="120"/>
      <c r="P6" s="120">
        <v>2</v>
      </c>
      <c r="Q6" s="120"/>
      <c r="R6" s="120">
        <v>3</v>
      </c>
      <c r="S6" s="120"/>
      <c r="T6" s="120">
        <v>4</v>
      </c>
      <c r="U6" s="120"/>
      <c r="V6" s="120">
        <v>5</v>
      </c>
      <c r="W6" s="120"/>
    </row>
    <row r="7" spans="1:25" ht="40.5" customHeight="1">
      <c r="A7" s="113" t="s">
        <v>310</v>
      </c>
      <c r="B7" s="113"/>
      <c r="C7" s="113" t="s">
        <v>300</v>
      </c>
      <c r="D7" s="113"/>
      <c r="E7" s="113" t="s">
        <v>301</v>
      </c>
      <c r="F7" s="113"/>
      <c r="G7" s="113" t="s">
        <v>315</v>
      </c>
      <c r="H7" s="113"/>
      <c r="I7" s="114">
        <f>MROUND(0.17*'Income Statement'!L11,10000)</f>
        <v>150000</v>
      </c>
      <c r="J7" s="114"/>
      <c r="L7" s="117" t="s">
        <v>322</v>
      </c>
      <c r="M7" s="117"/>
      <c r="N7" s="114">
        <v>500000</v>
      </c>
      <c r="O7" s="114"/>
      <c r="P7" s="114">
        <v>550000</v>
      </c>
      <c r="Q7" s="114"/>
      <c r="R7" s="114">
        <v>575000</v>
      </c>
      <c r="S7" s="114"/>
      <c r="T7" s="114">
        <v>575000</v>
      </c>
      <c r="U7" s="114"/>
      <c r="V7" s="114">
        <v>575000</v>
      </c>
      <c r="W7" s="114"/>
    </row>
    <row r="8" spans="1:25" ht="40.5" customHeight="1" thickBot="1">
      <c r="A8" s="113" t="s">
        <v>312</v>
      </c>
      <c r="B8" s="113"/>
      <c r="C8" s="113" t="s">
        <v>304</v>
      </c>
      <c r="D8" s="113"/>
      <c r="E8" s="113" t="s">
        <v>305</v>
      </c>
      <c r="F8" s="113"/>
      <c r="G8" s="113" t="s">
        <v>316</v>
      </c>
      <c r="H8" s="113"/>
      <c r="I8" s="114">
        <v>100000</v>
      </c>
      <c r="J8" s="114"/>
      <c r="L8" s="121" t="s">
        <v>370</v>
      </c>
      <c r="M8" s="121"/>
      <c r="N8" s="122">
        <f>(1/(1+ASSUMPTIONS!$D$13)^SYNERGIES!N6)*N7</f>
        <v>458715.59633027518</v>
      </c>
      <c r="O8" s="122"/>
      <c r="P8" s="122">
        <f>(1/(1+ASSUMPTIONS!$D$13)^SYNERGIES!P6)*P7</f>
        <v>462923.99629660795</v>
      </c>
      <c r="Q8" s="122"/>
      <c r="R8" s="122">
        <f>(1/(1+ASSUMPTIONS!$D$13)^SYNERGIES!R6)*R7</f>
        <v>444005.5010351119</v>
      </c>
      <c r="S8" s="122"/>
      <c r="T8" s="122">
        <f>(1/(1+ASSUMPTIONS!$D$13)^SYNERGIES!T6)*T7</f>
        <v>407344.49636248796</v>
      </c>
      <c r="U8" s="122"/>
      <c r="V8" s="122">
        <f>(1/(1+ASSUMPTIONS!$D$13)^SYNERGIES!V6)*V7</f>
        <v>373710.5471215485</v>
      </c>
      <c r="W8" s="122"/>
      <c r="X8" s="124">
        <f>SUM(N8:W8)</f>
        <v>2146700.1371460315</v>
      </c>
      <c r="Y8" s="124"/>
    </row>
    <row r="9" spans="1:25" ht="40.5" customHeight="1" thickTop="1">
      <c r="A9" s="113" t="s">
        <v>309</v>
      </c>
      <c r="B9" s="113"/>
      <c r="C9" s="113" t="s">
        <v>298</v>
      </c>
      <c r="D9" s="113"/>
      <c r="E9" s="113" t="s">
        <v>299</v>
      </c>
      <c r="F9" s="113"/>
      <c r="G9" s="113" t="s">
        <v>317</v>
      </c>
      <c r="H9" s="113"/>
      <c r="I9" s="114">
        <v>75000</v>
      </c>
      <c r="J9" s="114"/>
    </row>
    <row r="10" spans="1:25" ht="40.5" customHeight="1">
      <c r="A10" s="113" t="s">
        <v>311</v>
      </c>
      <c r="B10" s="113"/>
      <c r="C10" s="113" t="s">
        <v>302</v>
      </c>
      <c r="D10" s="113"/>
      <c r="E10" s="113" t="s">
        <v>303</v>
      </c>
      <c r="F10" s="113"/>
      <c r="G10" s="113" t="s">
        <v>318</v>
      </c>
      <c r="H10" s="113"/>
      <c r="I10" s="114">
        <v>50000</v>
      </c>
      <c r="J10" s="114"/>
    </row>
    <row r="11" spans="1:25" ht="15.75" thickBot="1">
      <c r="A11" s="115" t="s">
        <v>369</v>
      </c>
      <c r="B11" s="115"/>
      <c r="C11" s="115"/>
      <c r="D11" s="115"/>
      <c r="E11" s="115"/>
      <c r="F11" s="115"/>
      <c r="G11" s="115"/>
      <c r="H11" s="115"/>
      <c r="I11" s="47"/>
      <c r="J11" s="116">
        <f>SUM(I6:J10)</f>
        <v>575000</v>
      </c>
    </row>
    <row r="12" spans="1:25" ht="15.75" thickTop="1"/>
    <row r="14" spans="1:25" ht="15.75" thickBot="1">
      <c r="A14" s="82" t="s">
        <v>365</v>
      </c>
      <c r="B14" s="82"/>
      <c r="C14" s="93" t="s">
        <v>363</v>
      </c>
      <c r="D14" s="93"/>
    </row>
    <row r="15" spans="1:25" ht="15" customHeight="1">
      <c r="A15" s="113" t="s">
        <v>323</v>
      </c>
      <c r="B15" s="113"/>
      <c r="C15" s="123">
        <f>'DCF &amp; SENSITIVITY ANALYSIS'!D7</f>
        <v>18219243.697889067</v>
      </c>
      <c r="D15" s="123"/>
    </row>
    <row r="16" spans="1:25">
      <c r="A16" s="113" t="s">
        <v>319</v>
      </c>
      <c r="B16" s="113"/>
      <c r="C16" s="34">
        <f>X8</f>
        <v>2146700.1371460315</v>
      </c>
      <c r="D16" s="34">
        <f>X8</f>
        <v>2146700.1371460315</v>
      </c>
    </row>
    <row r="17" spans="1:4" ht="15.75" thickBot="1">
      <c r="A17" s="83" t="s">
        <v>321</v>
      </c>
      <c r="B17" s="83"/>
      <c r="C17" s="83">
        <f>C15+C16</f>
        <v>20365943.835035101</v>
      </c>
      <c r="D17" s="126">
        <f>C15+D16</f>
        <v>20365943.835035101</v>
      </c>
    </row>
    <row r="18" spans="1:4" ht="15.75" thickTop="1"/>
  </sheetData>
  <mergeCells count="72">
    <mergeCell ref="H1:J1"/>
    <mergeCell ref="A15:B15"/>
    <mergeCell ref="A16:B16"/>
    <mergeCell ref="A14:B14"/>
    <mergeCell ref="C14:D14"/>
    <mergeCell ref="C15:D15"/>
    <mergeCell ref="C16:D16"/>
    <mergeCell ref="A17:C17"/>
    <mergeCell ref="V8:W8"/>
    <mergeCell ref="X8:Y8"/>
    <mergeCell ref="L4:M4"/>
    <mergeCell ref="N4:O4"/>
    <mergeCell ref="P4:Q4"/>
    <mergeCell ref="R4:S4"/>
    <mergeCell ref="T4:U4"/>
    <mergeCell ref="V4:W4"/>
    <mergeCell ref="L6:M6"/>
    <mergeCell ref="N6:O6"/>
    <mergeCell ref="P6:Q6"/>
    <mergeCell ref="R6:S6"/>
    <mergeCell ref="T6:U6"/>
    <mergeCell ref="V6:W6"/>
    <mergeCell ref="L8:M8"/>
    <mergeCell ref="N7:O7"/>
    <mergeCell ref="P7:Q7"/>
    <mergeCell ref="R7:S7"/>
    <mergeCell ref="T7:U7"/>
    <mergeCell ref="V7:W7"/>
    <mergeCell ref="N8:O8"/>
    <mergeCell ref="P8:Q8"/>
    <mergeCell ref="R8:S8"/>
    <mergeCell ref="T8:U8"/>
    <mergeCell ref="P5:Q5"/>
    <mergeCell ref="R5:S5"/>
    <mergeCell ref="T5:U5"/>
    <mergeCell ref="V5:W5"/>
    <mergeCell ref="L5:M5"/>
    <mergeCell ref="L7:M7"/>
    <mergeCell ref="G10:H10"/>
    <mergeCell ref="I10:J10"/>
    <mergeCell ref="A11:H11"/>
    <mergeCell ref="G7:H7"/>
    <mergeCell ref="I7:J7"/>
    <mergeCell ref="G8:H8"/>
    <mergeCell ref="I8:J8"/>
    <mergeCell ref="G9:H9"/>
    <mergeCell ref="I9:J9"/>
    <mergeCell ref="N5:O5"/>
    <mergeCell ref="G5:H5"/>
    <mergeCell ref="I5:J5"/>
    <mergeCell ref="G6:H6"/>
    <mergeCell ref="I6:J6"/>
    <mergeCell ref="A4:J4"/>
    <mergeCell ref="A9:B9"/>
    <mergeCell ref="C9:D9"/>
    <mergeCell ref="E9:F9"/>
    <mergeCell ref="A10:B10"/>
    <mergeCell ref="C10:D10"/>
    <mergeCell ref="E10:F10"/>
    <mergeCell ref="A7:B7"/>
    <mergeCell ref="C7:D7"/>
    <mergeCell ref="E7:F7"/>
    <mergeCell ref="A8:B8"/>
    <mergeCell ref="C8:D8"/>
    <mergeCell ref="E8:F8"/>
    <mergeCell ref="A5:B5"/>
    <mergeCell ref="C5:D5"/>
    <mergeCell ref="E5:F5"/>
    <mergeCell ref="A6:B6"/>
    <mergeCell ref="C6:D6"/>
    <mergeCell ref="E6:F6"/>
    <mergeCell ref="A1:G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9C2E-7A99-4EA0-9EE6-0403F8614930}">
  <dimension ref="A1:T5"/>
  <sheetViews>
    <sheetView showGridLines="0" workbookViewId="0">
      <selection activeCell="M1" sqref="M1"/>
    </sheetView>
  </sheetViews>
  <sheetFormatPr defaultRowHeight="15"/>
  <sheetData>
    <row r="1" spans="1:20" ht="24">
      <c r="A1" s="260" t="s">
        <v>324</v>
      </c>
      <c r="B1" s="260"/>
      <c r="C1" s="260"/>
      <c r="D1" s="260"/>
    </row>
    <row r="3" spans="1:20" ht="24" customHeight="1">
      <c r="A3" s="298" t="s">
        <v>327</v>
      </c>
      <c r="B3" s="298"/>
      <c r="C3" s="298"/>
      <c r="D3" s="298"/>
      <c r="E3" s="298"/>
      <c r="F3" s="298"/>
      <c r="G3" s="298"/>
      <c r="H3" s="298"/>
      <c r="I3" s="298"/>
      <c r="J3" s="298"/>
      <c r="K3" s="298"/>
      <c r="L3" s="298"/>
      <c r="M3" s="298"/>
      <c r="N3" s="298"/>
      <c r="O3" s="298"/>
      <c r="P3" s="298"/>
      <c r="Q3" s="298"/>
      <c r="R3" s="298"/>
      <c r="S3" s="298"/>
      <c r="T3" s="298"/>
    </row>
    <row r="4" spans="1:20" ht="24" customHeight="1">
      <c r="A4" s="298"/>
      <c r="B4" s="298"/>
      <c r="C4" s="298"/>
      <c r="D4" s="298"/>
      <c r="E4" s="298"/>
      <c r="F4" s="298"/>
      <c r="G4" s="298"/>
      <c r="H4" s="298"/>
      <c r="I4" s="298"/>
      <c r="J4" s="298"/>
      <c r="K4" s="298"/>
      <c r="L4" s="298"/>
      <c r="M4" s="298"/>
      <c r="N4" s="298"/>
      <c r="O4" s="298"/>
      <c r="P4" s="298"/>
      <c r="Q4" s="298"/>
      <c r="R4" s="298"/>
      <c r="S4" s="298"/>
      <c r="T4" s="298"/>
    </row>
    <row r="5" spans="1:20" ht="209.25" customHeight="1">
      <c r="A5" s="299" t="s">
        <v>439</v>
      </c>
      <c r="B5" s="300"/>
      <c r="C5" s="300"/>
      <c r="D5" s="300"/>
      <c r="E5" s="300"/>
      <c r="F5" s="300"/>
      <c r="G5" s="300"/>
      <c r="H5" s="300"/>
      <c r="I5" s="300"/>
      <c r="J5" s="300"/>
      <c r="K5" s="300"/>
      <c r="L5" s="300"/>
      <c r="M5" s="300"/>
      <c r="N5" s="300"/>
      <c r="O5" s="300"/>
      <c r="P5" s="300"/>
      <c r="Q5" s="300"/>
      <c r="R5" s="300"/>
      <c r="S5" s="300"/>
      <c r="T5" s="301"/>
    </row>
  </sheetData>
  <mergeCells count="3">
    <mergeCell ref="A5:T5"/>
    <mergeCell ref="A1:D1"/>
    <mergeCell ref="A3:T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Income Statement</vt:lpstr>
      <vt:lpstr>Balance Sheet</vt:lpstr>
      <vt:lpstr>Cash Flow</vt:lpstr>
      <vt:lpstr>Cover</vt:lpstr>
      <vt:lpstr>COVER2</vt:lpstr>
      <vt:lpstr>EXECUTIVE DASHBOARD</vt:lpstr>
      <vt:lpstr>data</vt:lpstr>
      <vt:lpstr>TRANSACTION OVERVIEW</vt:lpstr>
      <vt:lpstr>HISTORICAL FINANCIALS</vt:lpstr>
      <vt:lpstr>Lyft Analysis</vt:lpstr>
      <vt:lpstr>ASSUMPTIONS</vt:lpstr>
      <vt:lpstr>FORECAST MODEL &amp; FCF BUILD UP</vt:lpstr>
      <vt:lpstr>DCF &amp; SENSITIVITY ANALYSIS</vt:lpstr>
      <vt:lpstr>SYNERGIES</vt:lpstr>
      <vt:lpstr>RECOMMENDATION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Kurukulasooriya</dc:creator>
  <cp:lastModifiedBy>Dulakshana rar</cp:lastModifiedBy>
  <dcterms:created xsi:type="dcterms:W3CDTF">2026-05-25T04:12:57Z</dcterms:created>
  <dcterms:modified xsi:type="dcterms:W3CDTF">2026-06-01T04:24:59Z</dcterms:modified>
</cp:coreProperties>
</file>